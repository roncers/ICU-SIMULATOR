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arti\Documents\TFG\Proyecto\UCI\Prototype1\analisis datos\"/>
    </mc:Choice>
  </mc:AlternateContent>
  <xr:revisionPtr revIDLastSave="0" documentId="13_ncr:1_{9EFFC6E7-7C77-4B86-8D63-73C48CB55F66}" xr6:coauthVersionLast="47" xr6:coauthVersionMax="47" xr10:uidLastSave="{00000000-0000-0000-0000-000000000000}"/>
  <bookViews>
    <workbookView xWindow="3570" yWindow="2055" windowWidth="21600" windowHeight="11835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chart.v1.0" hidden="1">Sheet3!$B$2</definedName>
    <definedName name="_xlchart.v1.1" hidden="1">Sheet3!$B$3:$B$202</definedName>
    <definedName name="_xlchart.v1.2" hidden="1">Sheet3!$C$2</definedName>
    <definedName name="_xlchart.v1.3" hidden="1">Sheet3!$C$3:$C$202</definedName>
    <definedName name="_xlchart.v1.4" hidden="1">Sheet3!$D$2</definedName>
    <definedName name="_xlchart.v1.5" hidden="1">Sheet3!$D$3:$D$202</definedName>
    <definedName name="_xlchart.v1.6" hidden="1">Sheet3!$E$2</definedName>
    <definedName name="_xlchart.v1.7" hidden="1">Sheet3!$E$3:$E$202</definedName>
    <definedName name="_xlchart.v1.8" hidden="1">Sheet3!$F$2</definedName>
    <definedName name="_xlchart.v1.9" hidden="1">Sheet3!$F$3:$F$202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4" l="1"/>
  <c r="Q4" i="4"/>
  <c r="R4" i="4"/>
  <c r="S4" i="4"/>
  <c r="T4" i="4"/>
  <c r="U4" i="4"/>
  <c r="V4" i="4"/>
  <c r="W4" i="4"/>
  <c r="X4" i="4"/>
  <c r="O4" i="4"/>
  <c r="O3" i="4"/>
  <c r="P3" i="4"/>
  <c r="Q3" i="4"/>
  <c r="R3" i="4"/>
  <c r="S3" i="4"/>
  <c r="T3" i="4"/>
  <c r="U3" i="4"/>
  <c r="V3" i="4"/>
  <c r="W3" i="4"/>
  <c r="X3" i="4"/>
  <c r="C43" i="4"/>
  <c r="D43" i="4"/>
  <c r="E43" i="4"/>
  <c r="F43" i="4"/>
  <c r="G43" i="4"/>
  <c r="H43" i="4"/>
  <c r="I43" i="4"/>
  <c r="J43" i="4"/>
  <c r="K43" i="4"/>
  <c r="B43" i="4"/>
  <c r="P7" i="4"/>
  <c r="Q7" i="4"/>
  <c r="R7" i="4"/>
  <c r="S7" i="4"/>
  <c r="T7" i="4"/>
  <c r="U7" i="4"/>
  <c r="V7" i="4"/>
  <c r="W7" i="4"/>
  <c r="X7" i="4"/>
  <c r="O7" i="4"/>
</calcChain>
</file>

<file path=xl/sharedStrings.xml><?xml version="1.0" encoding="utf-8"?>
<sst xmlns="http://schemas.openxmlformats.org/spreadsheetml/2006/main" count="314" uniqueCount="54">
  <si>
    <t>Personal sanitario</t>
  </si>
  <si>
    <t>Camas disponibles</t>
  </si>
  <si>
    <t>Pacientes desatendidos</t>
  </si>
  <si>
    <t>14 días de simulación</t>
  </si>
  <si>
    <t>5 muestras asociadas a las semillas 1,2,3,4,5 y luego media</t>
  </si>
  <si>
    <t>1 medico</t>
  </si>
  <si>
    <t>2 camas</t>
  </si>
  <si>
    <t>5 camas</t>
  </si>
  <si>
    <t>7 camas</t>
  </si>
  <si>
    <t>10 camas</t>
  </si>
  <si>
    <t>3 medico</t>
  </si>
  <si>
    <t>5 medico</t>
  </si>
  <si>
    <t>1 médico</t>
  </si>
  <si>
    <t>3 médico</t>
  </si>
  <si>
    <t>5 médico</t>
  </si>
  <si>
    <t>100 muestras</t>
  </si>
  <si>
    <t>1 médicos</t>
  </si>
  <si>
    <t>3 médicos</t>
  </si>
  <si>
    <t>5 médicos</t>
  </si>
  <si>
    <t>5 doctores</t>
  </si>
  <si>
    <t>4 doctores</t>
  </si>
  <si>
    <t>3 doctores</t>
  </si>
  <si>
    <t>2 doctores</t>
  </si>
  <si>
    <t>1 doctor</t>
  </si>
  <si>
    <t>semilla 5</t>
  </si>
  <si>
    <t>media de ocupación por cama con 2 semanas de simulación</t>
  </si>
  <si>
    <t>1 cama</t>
  </si>
  <si>
    <t>3 camas</t>
  </si>
  <si>
    <t>4 camas</t>
  </si>
  <si>
    <t>6 camas</t>
  </si>
  <si>
    <t>8 camas</t>
  </si>
  <si>
    <t>9 camas</t>
  </si>
  <si>
    <t>max</t>
  </si>
  <si>
    <t>igual pero con 4 semanas</t>
  </si>
  <si>
    <t>media de atenciones por doctor</t>
  </si>
  <si>
    <t>media de descansos por doctor</t>
  </si>
  <si>
    <t>tiempo de espera medio pacientes</t>
  </si>
  <si>
    <t>tiempo de ingreso medio pacientes</t>
  </si>
  <si>
    <t>visitas medias pacientes</t>
  </si>
  <si>
    <t>pacientes curados</t>
  </si>
  <si>
    <t>pacientes muertos</t>
  </si>
  <si>
    <t>Pacientes atendidos</t>
  </si>
  <si>
    <t>6 doctores</t>
  </si>
  <si>
    <t>7 doctores</t>
  </si>
  <si>
    <t>8 doctores</t>
  </si>
  <si>
    <t>2 doctor</t>
  </si>
  <si>
    <t>3 doctor</t>
  </si>
  <si>
    <t>4 doctor</t>
  </si>
  <si>
    <t>5 doctor</t>
  </si>
  <si>
    <t>6 doctor</t>
  </si>
  <si>
    <t>2 semanas</t>
  </si>
  <si>
    <t>4 semanas</t>
  </si>
  <si>
    <t>Curados</t>
  </si>
  <si>
    <t>Muertos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</si>
</sst>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9" fontId="0" fillId="0" borderId="0" xfId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Personal sanitario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Sheet1!$C$4:$C$15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3-4AEC-914C-C89742F4296A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Camas disponibles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Sheet1!$D$4:$D$15</c:f>
              <c:numCache>
                <c:formatCode>General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2</c:v>
                </c:pt>
                <c:pt idx="5">
                  <c:v>5</c:v>
                </c:pt>
                <c:pt idx="6">
                  <c:v>7</c:v>
                </c:pt>
                <c:pt idx="7">
                  <c:v>10</c:v>
                </c:pt>
                <c:pt idx="8">
                  <c:v>2</c:v>
                </c:pt>
                <c:pt idx="9">
                  <c:v>5</c:v>
                </c:pt>
                <c:pt idx="10">
                  <c:v>7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3-4AEC-914C-C89742F4296A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Pacientes desatendidos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Sheet1!$E$4:$E$15</c:f>
              <c:numCache>
                <c:formatCode>General</c:formatCode>
                <c:ptCount val="12"/>
                <c:pt idx="0">
                  <c:v>28</c:v>
                </c:pt>
                <c:pt idx="1">
                  <c:v>11.4</c:v>
                </c:pt>
                <c:pt idx="2">
                  <c:v>1.6</c:v>
                </c:pt>
                <c:pt idx="3">
                  <c:v>0.6</c:v>
                </c:pt>
                <c:pt idx="4">
                  <c:v>28.8</c:v>
                </c:pt>
                <c:pt idx="5">
                  <c:v>16</c:v>
                </c:pt>
                <c:pt idx="6">
                  <c:v>7</c:v>
                </c:pt>
                <c:pt idx="7">
                  <c:v>0</c:v>
                </c:pt>
                <c:pt idx="8">
                  <c:v>32</c:v>
                </c:pt>
                <c:pt idx="9">
                  <c:v>7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93-4AEC-914C-C89742F42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4438624"/>
        <c:axId val="644437544"/>
        <c:axId val="0"/>
      </c:bar3DChart>
      <c:catAx>
        <c:axId val="644438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4437544"/>
        <c:crosses val="autoZero"/>
        <c:auto val="1"/>
        <c:lblAlgn val="ctr"/>
        <c:lblOffset val="100"/>
        <c:noMultiLvlLbl val="0"/>
      </c:catAx>
      <c:valAx>
        <c:axId val="64443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443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Sheet1!$C$20</c:f>
              <c:strCache>
                <c:ptCount val="1"/>
                <c:pt idx="0">
                  <c:v>Pacientes desatendidos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Sheet1!$A$21:$B$32</c:f>
              <c:multiLvlStrCache>
                <c:ptCount val="12"/>
                <c:lvl>
                  <c:pt idx="0">
                    <c:v>2 camas</c:v>
                  </c:pt>
                  <c:pt idx="1">
                    <c:v>5 camas</c:v>
                  </c:pt>
                  <c:pt idx="2">
                    <c:v>7 camas</c:v>
                  </c:pt>
                  <c:pt idx="3">
                    <c:v>10 camas</c:v>
                  </c:pt>
                  <c:pt idx="4">
                    <c:v>2 camas</c:v>
                  </c:pt>
                  <c:pt idx="5">
                    <c:v>5 camas</c:v>
                  </c:pt>
                  <c:pt idx="6">
                    <c:v>7 camas</c:v>
                  </c:pt>
                  <c:pt idx="7">
                    <c:v>10 camas</c:v>
                  </c:pt>
                  <c:pt idx="8">
                    <c:v>2 camas</c:v>
                  </c:pt>
                  <c:pt idx="9">
                    <c:v>5 camas</c:v>
                  </c:pt>
                  <c:pt idx="10">
                    <c:v>7 camas</c:v>
                  </c:pt>
                  <c:pt idx="11">
                    <c:v>10 camas</c:v>
                  </c:pt>
                </c:lvl>
                <c:lvl>
                  <c:pt idx="0">
                    <c:v>1 médico</c:v>
                  </c:pt>
                  <c:pt idx="4">
                    <c:v>3 médico</c:v>
                  </c:pt>
                  <c:pt idx="8">
                    <c:v>5 médico</c:v>
                  </c:pt>
                </c:lvl>
              </c:multiLvlStrCache>
            </c:multiLvlStrRef>
          </c:cat>
          <c:val>
            <c:numRef>
              <c:f>Sheet1!$C$21:$C$32</c:f>
              <c:numCache>
                <c:formatCode>General</c:formatCode>
                <c:ptCount val="12"/>
                <c:pt idx="0">
                  <c:v>28</c:v>
                </c:pt>
                <c:pt idx="1">
                  <c:v>11.4</c:v>
                </c:pt>
                <c:pt idx="2">
                  <c:v>1.6</c:v>
                </c:pt>
                <c:pt idx="3">
                  <c:v>0.6</c:v>
                </c:pt>
                <c:pt idx="4">
                  <c:v>28.8</c:v>
                </c:pt>
                <c:pt idx="5">
                  <c:v>16</c:v>
                </c:pt>
                <c:pt idx="6">
                  <c:v>7</c:v>
                </c:pt>
                <c:pt idx="7">
                  <c:v>0</c:v>
                </c:pt>
                <c:pt idx="8">
                  <c:v>32</c:v>
                </c:pt>
                <c:pt idx="9">
                  <c:v>7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8-48F8-84D5-B1BE51D17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1797216"/>
        <c:axId val="421796856"/>
        <c:axId val="0"/>
      </c:bar3DChart>
      <c:catAx>
        <c:axId val="42179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1796856"/>
        <c:crosses val="autoZero"/>
        <c:auto val="1"/>
        <c:lblAlgn val="ctr"/>
        <c:lblOffset val="100"/>
        <c:noMultiLvlLbl val="0"/>
      </c:catAx>
      <c:valAx>
        <c:axId val="42179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179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3477913800920873E-2"/>
          <c:y val="0.1258354537743851"/>
          <c:w val="0.94327796616663795"/>
          <c:h val="0.738807343738521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Pacientes desatendidos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Sheet2!$A$5:$B$16</c:f>
              <c:multiLvlStrCache>
                <c:ptCount val="12"/>
                <c:lvl>
                  <c:pt idx="0">
                    <c:v>2 camas</c:v>
                  </c:pt>
                  <c:pt idx="1">
                    <c:v>5 camas</c:v>
                  </c:pt>
                  <c:pt idx="2">
                    <c:v>7 camas</c:v>
                  </c:pt>
                  <c:pt idx="3">
                    <c:v>10 camas</c:v>
                  </c:pt>
                  <c:pt idx="4">
                    <c:v>2 camas</c:v>
                  </c:pt>
                  <c:pt idx="5">
                    <c:v>5 camas</c:v>
                  </c:pt>
                  <c:pt idx="6">
                    <c:v>7 camas</c:v>
                  </c:pt>
                  <c:pt idx="7">
                    <c:v>10 camas</c:v>
                  </c:pt>
                  <c:pt idx="8">
                    <c:v>2 camas</c:v>
                  </c:pt>
                  <c:pt idx="9">
                    <c:v>5 camas</c:v>
                  </c:pt>
                  <c:pt idx="10">
                    <c:v>7 camas</c:v>
                  </c:pt>
                  <c:pt idx="11">
                    <c:v>10 camas</c:v>
                  </c:pt>
                </c:lvl>
                <c:lvl>
                  <c:pt idx="0">
                    <c:v>1 médicos</c:v>
                  </c:pt>
                  <c:pt idx="4">
                    <c:v>3 médicos</c:v>
                  </c:pt>
                  <c:pt idx="8">
                    <c:v>5 médicos</c:v>
                  </c:pt>
                </c:lvl>
              </c:multiLvlStrCache>
            </c:multiLvlStrRef>
          </c:cat>
          <c:val>
            <c:numRef>
              <c:f>Sheet2!$C$5:$C$16</c:f>
              <c:numCache>
                <c:formatCode>General</c:formatCode>
                <c:ptCount val="12"/>
                <c:pt idx="0">
                  <c:v>28.16</c:v>
                </c:pt>
                <c:pt idx="1">
                  <c:v>11.61</c:v>
                </c:pt>
                <c:pt idx="2">
                  <c:v>3.72</c:v>
                </c:pt>
                <c:pt idx="3">
                  <c:v>0.53</c:v>
                </c:pt>
                <c:pt idx="4">
                  <c:v>27.78</c:v>
                </c:pt>
                <c:pt idx="5">
                  <c:v>12.04</c:v>
                </c:pt>
                <c:pt idx="6">
                  <c:v>3.71</c:v>
                </c:pt>
                <c:pt idx="7">
                  <c:v>0.5</c:v>
                </c:pt>
                <c:pt idx="8">
                  <c:v>28</c:v>
                </c:pt>
                <c:pt idx="9">
                  <c:v>10.96</c:v>
                </c:pt>
                <c:pt idx="10">
                  <c:v>3.59</c:v>
                </c:pt>
                <c:pt idx="11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D-405E-83A6-7D27B60B5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073072"/>
        <c:axId val="430071632"/>
      </c:barChart>
      <c:catAx>
        <c:axId val="43007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071632"/>
        <c:crosses val="autoZero"/>
        <c:auto val="1"/>
        <c:lblAlgn val="ctr"/>
        <c:lblOffset val="100"/>
        <c:noMultiLvlLbl val="0"/>
      </c:catAx>
      <c:valAx>
        <c:axId val="43007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07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Porcentaje de ocupación por cama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Sheet4!$N$3</c:f>
              <c:strCache>
                <c:ptCount val="1"/>
                <c:pt idx="0">
                  <c:v>2 semanas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Sheet4!$O$2:$X$2</c:f>
              <c:strCache>
                <c:ptCount val="10"/>
                <c:pt idx="0">
                  <c:v>1 cama</c:v>
                </c:pt>
                <c:pt idx="1">
                  <c:v>2 camas</c:v>
                </c:pt>
                <c:pt idx="2">
                  <c:v>3 camas</c:v>
                </c:pt>
                <c:pt idx="3">
                  <c:v>4 camas</c:v>
                </c:pt>
                <c:pt idx="4">
                  <c:v>5 camas</c:v>
                </c:pt>
                <c:pt idx="5">
                  <c:v>6 camas</c:v>
                </c:pt>
                <c:pt idx="6">
                  <c:v>7 camas</c:v>
                </c:pt>
                <c:pt idx="7">
                  <c:v>8 camas</c:v>
                </c:pt>
                <c:pt idx="8">
                  <c:v>9 camas</c:v>
                </c:pt>
                <c:pt idx="9">
                  <c:v>10 camas</c:v>
                </c:pt>
              </c:strCache>
            </c:strRef>
          </c:cat>
          <c:val>
            <c:numRef>
              <c:f>Sheet4!$O$3:$X$3</c:f>
              <c:numCache>
                <c:formatCode>0%</c:formatCode>
                <c:ptCount val="10"/>
                <c:pt idx="0">
                  <c:v>0.95063740079365067</c:v>
                </c:pt>
                <c:pt idx="1">
                  <c:v>0.90534226190476197</c:v>
                </c:pt>
                <c:pt idx="2">
                  <c:v>0.88023065476190476</c:v>
                </c:pt>
                <c:pt idx="3">
                  <c:v>0.83026984126984138</c:v>
                </c:pt>
                <c:pt idx="4">
                  <c:v>0.80612003968253965</c:v>
                </c:pt>
                <c:pt idx="5">
                  <c:v>0.74962847222222229</c:v>
                </c:pt>
                <c:pt idx="6">
                  <c:v>0.69610416666666663</c:v>
                </c:pt>
                <c:pt idx="7">
                  <c:v>0.64228571428571424</c:v>
                </c:pt>
                <c:pt idx="8">
                  <c:v>0.5854206349206349</c:v>
                </c:pt>
                <c:pt idx="9">
                  <c:v>0.52324404761904764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A-4C40-9165-69744932078A}"/>
            </c:ext>
          </c:extLst>
        </c:ser>
        <c:ser>
          <c:idx val="1"/>
          <c:order val="1"/>
          <c:tx>
            <c:strRef>
              <c:f>Sheet4!$N$4</c:f>
              <c:strCache>
                <c:ptCount val="1"/>
                <c:pt idx="0">
                  <c:v>4 semanas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Sheet4!$O$2:$X$2</c:f>
              <c:strCache>
                <c:ptCount val="10"/>
                <c:pt idx="0">
                  <c:v>1 cama</c:v>
                </c:pt>
                <c:pt idx="1">
                  <c:v>2 camas</c:v>
                </c:pt>
                <c:pt idx="2">
                  <c:v>3 camas</c:v>
                </c:pt>
                <c:pt idx="3">
                  <c:v>4 camas</c:v>
                </c:pt>
                <c:pt idx="4">
                  <c:v>5 camas</c:v>
                </c:pt>
                <c:pt idx="5">
                  <c:v>6 camas</c:v>
                </c:pt>
                <c:pt idx="6">
                  <c:v>7 camas</c:v>
                </c:pt>
                <c:pt idx="7">
                  <c:v>8 camas</c:v>
                </c:pt>
                <c:pt idx="8">
                  <c:v>9 camas</c:v>
                </c:pt>
                <c:pt idx="9">
                  <c:v>10 camas</c:v>
                </c:pt>
              </c:strCache>
            </c:strRef>
          </c:cat>
          <c:val>
            <c:numRef>
              <c:f>Sheet4!$O$4:$X$4</c:f>
              <c:numCache>
                <c:formatCode>0%</c:formatCode>
                <c:ptCount val="10"/>
                <c:pt idx="0">
                  <c:v>0.96866567460317454</c:v>
                </c:pt>
                <c:pt idx="1">
                  <c:v>0.92901711309523816</c:v>
                </c:pt>
                <c:pt idx="2">
                  <c:v>0.8971436011904762</c:v>
                </c:pt>
                <c:pt idx="3">
                  <c:v>0.87437896825396821</c:v>
                </c:pt>
                <c:pt idx="4">
                  <c:v>0.85448561507936505</c:v>
                </c:pt>
                <c:pt idx="5">
                  <c:v>0.81141220238095235</c:v>
                </c:pt>
                <c:pt idx="6">
                  <c:v>0.76717485119047624</c:v>
                </c:pt>
                <c:pt idx="7">
                  <c:v>0.70789955357142853</c:v>
                </c:pt>
                <c:pt idx="8">
                  <c:v>0.64680332341269842</c:v>
                </c:pt>
                <c:pt idx="9">
                  <c:v>0.58059300595238095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9A-4C40-9165-697449320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630000"/>
        <c:axId val="619624240"/>
      </c:barChart>
      <c:catAx>
        <c:axId val="61963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9624240"/>
        <c:crosses val="autoZero"/>
        <c:auto val="1"/>
        <c:lblAlgn val="ctr"/>
        <c:lblOffset val="100"/>
        <c:noMultiLvlLbl val="0"/>
      </c:catAx>
      <c:valAx>
        <c:axId val="6196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963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Pacientes desatendidos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Sheet4!$B$10:$K$10</c:f>
              <c:strCache>
                <c:ptCount val="10"/>
                <c:pt idx="0">
                  <c:v>1 cama</c:v>
                </c:pt>
                <c:pt idx="1">
                  <c:v>2 camas</c:v>
                </c:pt>
                <c:pt idx="2">
                  <c:v>3 camas</c:v>
                </c:pt>
                <c:pt idx="3">
                  <c:v>4 camas</c:v>
                </c:pt>
                <c:pt idx="4">
                  <c:v>5 camas</c:v>
                </c:pt>
                <c:pt idx="5">
                  <c:v>6 camas</c:v>
                </c:pt>
                <c:pt idx="6">
                  <c:v>7 camas</c:v>
                </c:pt>
                <c:pt idx="7">
                  <c:v>8 camas</c:v>
                </c:pt>
                <c:pt idx="8">
                  <c:v>9 camas</c:v>
                </c:pt>
                <c:pt idx="9">
                  <c:v>10 camas</c:v>
                </c:pt>
              </c:strCache>
            </c:strRef>
          </c:cat>
          <c:val>
            <c:numRef>
              <c:f>Sheet4!$B$11:$K$11</c:f>
              <c:numCache>
                <c:formatCode>General</c:formatCode>
                <c:ptCount val="10"/>
                <c:pt idx="0">
                  <c:v>27.53</c:v>
                </c:pt>
                <c:pt idx="1">
                  <c:v>22.6</c:v>
                </c:pt>
                <c:pt idx="2">
                  <c:v>18.52</c:v>
                </c:pt>
                <c:pt idx="3">
                  <c:v>12.94</c:v>
                </c:pt>
                <c:pt idx="4">
                  <c:v>10.44</c:v>
                </c:pt>
                <c:pt idx="5">
                  <c:v>5.78</c:v>
                </c:pt>
                <c:pt idx="6">
                  <c:v>3.8</c:v>
                </c:pt>
                <c:pt idx="7">
                  <c:v>1.48</c:v>
                </c:pt>
                <c:pt idx="8">
                  <c:v>0.94</c:v>
                </c:pt>
                <c:pt idx="9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8-4308-B483-96F293CC5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615776"/>
        <c:axId val="615612536"/>
      </c:lineChart>
      <c:catAx>
        <c:axId val="61561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5612536"/>
        <c:crosses val="autoZero"/>
        <c:auto val="1"/>
        <c:lblAlgn val="ctr"/>
        <c:lblOffset val="100"/>
        <c:noMultiLvlLbl val="0"/>
      </c:catAx>
      <c:valAx>
        <c:axId val="615612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561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Atenciones por doctor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Sheet4!$B$14:$K$14</c:f>
              <c:strCache>
                <c:ptCount val="10"/>
                <c:pt idx="0">
                  <c:v>1 cama</c:v>
                </c:pt>
                <c:pt idx="1">
                  <c:v>2 camas</c:v>
                </c:pt>
                <c:pt idx="2">
                  <c:v>3 camas</c:v>
                </c:pt>
                <c:pt idx="3">
                  <c:v>4 camas</c:v>
                </c:pt>
                <c:pt idx="4">
                  <c:v>5 camas</c:v>
                </c:pt>
                <c:pt idx="5">
                  <c:v>6 camas</c:v>
                </c:pt>
                <c:pt idx="6">
                  <c:v>7 camas</c:v>
                </c:pt>
                <c:pt idx="7">
                  <c:v>8 camas</c:v>
                </c:pt>
                <c:pt idx="8">
                  <c:v>9 camas</c:v>
                </c:pt>
                <c:pt idx="9">
                  <c:v>10 camas</c:v>
                </c:pt>
              </c:strCache>
            </c:strRef>
          </c:cat>
          <c:val>
            <c:numRef>
              <c:f>Sheet4!$B$15:$K$15</c:f>
              <c:numCache>
                <c:formatCode>General</c:formatCode>
                <c:ptCount val="10"/>
                <c:pt idx="0">
                  <c:v>1.0088889999999999</c:v>
                </c:pt>
                <c:pt idx="1">
                  <c:v>2.1144440000000002</c:v>
                </c:pt>
                <c:pt idx="2">
                  <c:v>3.0533329999999999</c:v>
                </c:pt>
                <c:pt idx="3">
                  <c:v>4.1100000000000003</c:v>
                </c:pt>
                <c:pt idx="4">
                  <c:v>4.7111109999999998</c:v>
                </c:pt>
                <c:pt idx="5">
                  <c:v>5.427778</c:v>
                </c:pt>
                <c:pt idx="6">
                  <c:v>6.0677779999999997</c:v>
                </c:pt>
                <c:pt idx="7">
                  <c:v>6.3311109999999999</c:v>
                </c:pt>
                <c:pt idx="8">
                  <c:v>6.36</c:v>
                </c:pt>
                <c:pt idx="9">
                  <c:v>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9-41B7-A699-0EAFC7CFF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237256"/>
        <c:axId val="619236896"/>
      </c:lineChart>
      <c:catAx>
        <c:axId val="61923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9236896"/>
        <c:crosses val="autoZero"/>
        <c:auto val="1"/>
        <c:lblAlgn val="ctr"/>
        <c:lblOffset val="100"/>
        <c:noMultiLvlLbl val="0"/>
      </c:catAx>
      <c:valAx>
        <c:axId val="61923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9237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Tiempo</a:t>
            </a:r>
            <a:r>
              <a:rPr lang="es-ES" baseline="0"/>
              <a:t> de espera por paciente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Sheet4!$B$22:$K$22</c:f>
              <c:strCache>
                <c:ptCount val="10"/>
                <c:pt idx="0">
                  <c:v>1 cama</c:v>
                </c:pt>
                <c:pt idx="1">
                  <c:v>2 camas</c:v>
                </c:pt>
                <c:pt idx="2">
                  <c:v>3 camas</c:v>
                </c:pt>
                <c:pt idx="3">
                  <c:v>4 camas</c:v>
                </c:pt>
                <c:pt idx="4">
                  <c:v>5 camas</c:v>
                </c:pt>
                <c:pt idx="5">
                  <c:v>6 camas</c:v>
                </c:pt>
                <c:pt idx="6">
                  <c:v>7 camas</c:v>
                </c:pt>
                <c:pt idx="7">
                  <c:v>8 camas</c:v>
                </c:pt>
                <c:pt idx="8">
                  <c:v>9 camas</c:v>
                </c:pt>
                <c:pt idx="9">
                  <c:v>10 camas</c:v>
                </c:pt>
              </c:strCache>
            </c:strRef>
          </c:cat>
          <c:val>
            <c:numRef>
              <c:f>Sheet4!$B$23:$K$23</c:f>
              <c:numCache>
                <c:formatCode>General</c:formatCode>
                <c:ptCount val="10"/>
                <c:pt idx="0">
                  <c:v>7912.2737999999999</c:v>
                </c:pt>
                <c:pt idx="1">
                  <c:v>6115.1432000000004</c:v>
                </c:pt>
                <c:pt idx="2">
                  <c:v>4694.7843000000003</c:v>
                </c:pt>
                <c:pt idx="3">
                  <c:v>3127.7105999999999</c:v>
                </c:pt>
                <c:pt idx="4">
                  <c:v>2369.4448000000002</c:v>
                </c:pt>
                <c:pt idx="5">
                  <c:v>1423.5238999999999</c:v>
                </c:pt>
                <c:pt idx="6">
                  <c:v>856.41309999999999</c:v>
                </c:pt>
                <c:pt idx="7">
                  <c:v>429.67380000000003</c:v>
                </c:pt>
                <c:pt idx="8">
                  <c:v>291.98009999999999</c:v>
                </c:pt>
                <c:pt idx="9">
                  <c:v>124.1066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B-4A2E-9575-AF4EF3AF0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056168"/>
        <c:axId val="688056528"/>
      </c:lineChart>
      <c:catAx>
        <c:axId val="688056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8056528"/>
        <c:crosses val="autoZero"/>
        <c:auto val="1"/>
        <c:lblAlgn val="ctr"/>
        <c:lblOffset val="100"/>
        <c:noMultiLvlLbl val="0"/>
      </c:catAx>
      <c:valAx>
        <c:axId val="68805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8056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Tiempo</a:t>
            </a:r>
            <a:r>
              <a:rPr lang="es-ES" baseline="0"/>
              <a:t> de ingreso por paciente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Sheet4!$B$26:$K$26</c:f>
              <c:strCache>
                <c:ptCount val="10"/>
                <c:pt idx="0">
                  <c:v>1 cama</c:v>
                </c:pt>
                <c:pt idx="1">
                  <c:v>2 camas</c:v>
                </c:pt>
                <c:pt idx="2">
                  <c:v>3 camas</c:v>
                </c:pt>
                <c:pt idx="3">
                  <c:v>4 camas</c:v>
                </c:pt>
                <c:pt idx="4">
                  <c:v>5 camas</c:v>
                </c:pt>
                <c:pt idx="5">
                  <c:v>6 camas</c:v>
                </c:pt>
                <c:pt idx="6">
                  <c:v>7 camas</c:v>
                </c:pt>
                <c:pt idx="7">
                  <c:v>8 camas</c:v>
                </c:pt>
                <c:pt idx="8">
                  <c:v>9 camas</c:v>
                </c:pt>
                <c:pt idx="9">
                  <c:v>10 camas</c:v>
                </c:pt>
              </c:strCache>
            </c:strRef>
          </c:cat>
          <c:val>
            <c:numRef>
              <c:f>Sheet4!$B$27:$K$27</c:f>
              <c:numCache>
                <c:formatCode>General</c:formatCode>
                <c:ptCount val="10"/>
                <c:pt idx="0">
                  <c:v>569.75739999999996</c:v>
                </c:pt>
                <c:pt idx="1">
                  <c:v>1098.4375</c:v>
                </c:pt>
                <c:pt idx="2">
                  <c:v>1584.0894000000001</c:v>
                </c:pt>
                <c:pt idx="3">
                  <c:v>2040.2009</c:v>
                </c:pt>
                <c:pt idx="4">
                  <c:v>2412.0792000000001</c:v>
                </c:pt>
                <c:pt idx="5">
                  <c:v>2771.0286000000001</c:v>
                </c:pt>
                <c:pt idx="6">
                  <c:v>2881.3798000000002</c:v>
                </c:pt>
                <c:pt idx="7">
                  <c:v>3074.4778000000001</c:v>
                </c:pt>
                <c:pt idx="8">
                  <c:v>3171.7408</c:v>
                </c:pt>
                <c:pt idx="9">
                  <c:v>3229.2622999999999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1-4F8D-8ACA-45315E8AA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001744"/>
        <c:axId val="684004264"/>
      </c:lineChart>
      <c:catAx>
        <c:axId val="68400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4004264"/>
        <c:crosses val="autoZero"/>
        <c:auto val="1"/>
        <c:lblAlgn val="ctr"/>
        <c:lblOffset val="100"/>
        <c:noMultiLvlLbl val="0"/>
      </c:catAx>
      <c:valAx>
        <c:axId val="68400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400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Visitas</a:t>
            </a:r>
            <a:r>
              <a:rPr lang="es-ES" baseline="0"/>
              <a:t> por paciente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Sheet4!$B$30:$K$30</c:f>
              <c:strCache>
                <c:ptCount val="10"/>
                <c:pt idx="0">
                  <c:v>1 cama</c:v>
                </c:pt>
                <c:pt idx="1">
                  <c:v>2 camas</c:v>
                </c:pt>
                <c:pt idx="2">
                  <c:v>3 camas</c:v>
                </c:pt>
                <c:pt idx="3">
                  <c:v>4 camas</c:v>
                </c:pt>
                <c:pt idx="4">
                  <c:v>5 camas</c:v>
                </c:pt>
                <c:pt idx="5">
                  <c:v>6 camas</c:v>
                </c:pt>
                <c:pt idx="6">
                  <c:v>7 camas</c:v>
                </c:pt>
                <c:pt idx="7">
                  <c:v>8 camas</c:v>
                </c:pt>
                <c:pt idx="8">
                  <c:v>9 camas</c:v>
                </c:pt>
                <c:pt idx="9">
                  <c:v>10 camas</c:v>
                </c:pt>
              </c:strCache>
            </c:strRef>
          </c:cat>
          <c:val>
            <c:numRef>
              <c:f>Sheet4!$B$31:$K$31</c:f>
              <c:numCache>
                <c:formatCode>General</c:formatCode>
                <c:ptCount val="10"/>
                <c:pt idx="0">
                  <c:v>0.16981270000000001</c:v>
                </c:pt>
                <c:pt idx="1">
                  <c:v>0.35882370000000002</c:v>
                </c:pt>
                <c:pt idx="2">
                  <c:v>0.50443459999999996</c:v>
                </c:pt>
                <c:pt idx="3">
                  <c:v>0.7111499</c:v>
                </c:pt>
                <c:pt idx="4">
                  <c:v>0.84070789999999995</c:v>
                </c:pt>
                <c:pt idx="5">
                  <c:v>0.92216929999999997</c:v>
                </c:pt>
                <c:pt idx="6">
                  <c:v>1.0260659000000001</c:v>
                </c:pt>
                <c:pt idx="7">
                  <c:v>1.0431052999999999</c:v>
                </c:pt>
                <c:pt idx="8">
                  <c:v>1.0937572</c:v>
                </c:pt>
                <c:pt idx="9">
                  <c:v>1.1190663000000001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C-4C67-9B66-1AD0B23F0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609480"/>
        <c:axId val="619602280"/>
      </c:barChart>
      <c:catAx>
        <c:axId val="619609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9602280"/>
        <c:crosses val="autoZero"/>
        <c:auto val="1"/>
        <c:lblAlgn val="ctr"/>
        <c:lblOffset val="100"/>
        <c:noMultiLvlLbl val="0"/>
      </c:catAx>
      <c:valAx>
        <c:axId val="61960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9609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Pacientes recuperados y muertos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Sheet4!$A$35</c:f>
              <c:strCache>
                <c:ptCount val="1"/>
                <c:pt idx="0">
                  <c:v>Curados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Sheet4!$B$34:$K$34</c:f>
              <c:strCache>
                <c:ptCount val="10"/>
                <c:pt idx="0">
                  <c:v>1 cama</c:v>
                </c:pt>
                <c:pt idx="1">
                  <c:v>2 camas</c:v>
                </c:pt>
                <c:pt idx="2">
                  <c:v>3 camas</c:v>
                </c:pt>
                <c:pt idx="3">
                  <c:v>4 camas</c:v>
                </c:pt>
                <c:pt idx="4">
                  <c:v>5 camas</c:v>
                </c:pt>
                <c:pt idx="5">
                  <c:v>6 camas</c:v>
                </c:pt>
                <c:pt idx="6">
                  <c:v>7 camas</c:v>
                </c:pt>
                <c:pt idx="7">
                  <c:v>8 camas</c:v>
                </c:pt>
                <c:pt idx="8">
                  <c:v>9 camas</c:v>
                </c:pt>
                <c:pt idx="9">
                  <c:v>10 camas</c:v>
                </c:pt>
              </c:strCache>
            </c:strRef>
          </c:cat>
          <c:val>
            <c:numRef>
              <c:f>Sheet4!$B$35:$K$35</c:f>
              <c:numCache>
                <c:formatCode>General</c:formatCode>
                <c:ptCount val="10"/>
                <c:pt idx="0">
                  <c:v>3.68</c:v>
                </c:pt>
                <c:pt idx="1">
                  <c:v>7.63</c:v>
                </c:pt>
                <c:pt idx="2">
                  <c:v>10.89</c:v>
                </c:pt>
                <c:pt idx="3">
                  <c:v>14.86</c:v>
                </c:pt>
                <c:pt idx="4">
                  <c:v>16.850000000000001</c:v>
                </c:pt>
                <c:pt idx="5">
                  <c:v>19.3</c:v>
                </c:pt>
                <c:pt idx="6">
                  <c:v>21.86</c:v>
                </c:pt>
                <c:pt idx="7">
                  <c:v>22.75</c:v>
                </c:pt>
                <c:pt idx="8">
                  <c:v>22.52</c:v>
                </c:pt>
                <c:pt idx="9">
                  <c:v>22.63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F-44F9-A480-3BBC55AEB68D}"/>
            </c:ext>
          </c:extLst>
        </c:ser>
        <c:ser>
          <c:idx val="1"/>
          <c:order val="1"/>
          <c:tx>
            <c:strRef>
              <c:f>Sheet4!$A$36</c:f>
              <c:strCache>
                <c:ptCount val="1"/>
                <c:pt idx="0">
                  <c:v>Muertos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Sheet4!$B$34:$K$34</c:f>
              <c:strCache>
                <c:ptCount val="10"/>
                <c:pt idx="0">
                  <c:v>1 cama</c:v>
                </c:pt>
                <c:pt idx="1">
                  <c:v>2 camas</c:v>
                </c:pt>
                <c:pt idx="2">
                  <c:v>3 camas</c:v>
                </c:pt>
                <c:pt idx="3">
                  <c:v>4 camas</c:v>
                </c:pt>
                <c:pt idx="4">
                  <c:v>5 camas</c:v>
                </c:pt>
                <c:pt idx="5">
                  <c:v>6 camas</c:v>
                </c:pt>
                <c:pt idx="6">
                  <c:v>7 camas</c:v>
                </c:pt>
                <c:pt idx="7">
                  <c:v>8 camas</c:v>
                </c:pt>
                <c:pt idx="8">
                  <c:v>9 camas</c:v>
                </c:pt>
                <c:pt idx="9">
                  <c:v>10 camas</c:v>
                </c:pt>
              </c:strCache>
            </c:strRef>
          </c:cat>
          <c:val>
            <c:numRef>
              <c:f>Sheet4!$B$36:$K$36</c:f>
              <c:numCache>
                <c:formatCode>General</c:formatCode>
                <c:ptCount val="10"/>
                <c:pt idx="0">
                  <c:v>0.37</c:v>
                </c:pt>
                <c:pt idx="1">
                  <c:v>0.91</c:v>
                </c:pt>
                <c:pt idx="2">
                  <c:v>1.41</c:v>
                </c:pt>
                <c:pt idx="3">
                  <c:v>1.7</c:v>
                </c:pt>
                <c:pt idx="4">
                  <c:v>2.0299999999999998</c:v>
                </c:pt>
                <c:pt idx="5">
                  <c:v>2.4300000000000002</c:v>
                </c:pt>
                <c:pt idx="6">
                  <c:v>2.5</c:v>
                </c:pt>
                <c:pt idx="7">
                  <c:v>2.6</c:v>
                </c:pt>
                <c:pt idx="8">
                  <c:v>2.73</c:v>
                </c:pt>
                <c:pt idx="9">
                  <c:v>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8F-44F9-A480-3BBC55AEB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605880"/>
        <c:axId val="619608040"/>
      </c:barChart>
      <c:catAx>
        <c:axId val="61960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9608040"/>
        <c:crosses val="autoZero"/>
        <c:auto val="1"/>
        <c:lblAlgn val="ctr"/>
        <c:lblOffset val="100"/>
        <c:noMultiLvlLbl val="0"/>
      </c:catAx>
      <c:valAx>
        <c:axId val="619608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960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Pacientes atendidos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Sheet4!$N$20</c:f>
              <c:strCache>
                <c:ptCount val="1"/>
                <c:pt idx="0">
                  <c:v>1 doctor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Sheet4!$O$19:$X$19</c:f>
              <c:strCache>
                <c:ptCount val="10"/>
                <c:pt idx="0">
                  <c:v>1 cama</c:v>
                </c:pt>
                <c:pt idx="1">
                  <c:v>2 camas</c:v>
                </c:pt>
                <c:pt idx="2">
                  <c:v>3 camas</c:v>
                </c:pt>
                <c:pt idx="3">
                  <c:v>4 camas</c:v>
                </c:pt>
                <c:pt idx="4">
                  <c:v>5 camas</c:v>
                </c:pt>
                <c:pt idx="5">
                  <c:v>6 camas</c:v>
                </c:pt>
                <c:pt idx="6">
                  <c:v>7 camas</c:v>
                </c:pt>
                <c:pt idx="7">
                  <c:v>8 camas</c:v>
                </c:pt>
                <c:pt idx="8">
                  <c:v>9 camas</c:v>
                </c:pt>
                <c:pt idx="9">
                  <c:v>10 camas</c:v>
                </c:pt>
              </c:strCache>
            </c:strRef>
          </c:cat>
          <c:val>
            <c:numRef>
              <c:f>Sheet4!$O$20:$X$20</c:f>
              <c:numCache>
                <c:formatCode>General</c:formatCode>
                <c:ptCount val="10"/>
                <c:pt idx="0">
                  <c:v>5.5</c:v>
                </c:pt>
                <c:pt idx="1">
                  <c:v>10.98</c:v>
                </c:pt>
                <c:pt idx="2">
                  <c:v>15.74</c:v>
                </c:pt>
                <c:pt idx="3">
                  <c:v>21.29</c:v>
                </c:pt>
                <c:pt idx="4">
                  <c:v>25.05</c:v>
                </c:pt>
                <c:pt idx="5">
                  <c:v>28.82</c:v>
                </c:pt>
                <c:pt idx="6">
                  <c:v>31.86</c:v>
                </c:pt>
                <c:pt idx="7">
                  <c:v>33</c:v>
                </c:pt>
                <c:pt idx="8">
                  <c:v>33.659999999999997</c:v>
                </c:pt>
                <c:pt idx="9">
                  <c:v>34.36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C-4997-A05E-34BECA48FCF2}"/>
            </c:ext>
          </c:extLst>
        </c:ser>
        <c:ser>
          <c:idx val="1"/>
          <c:order val="1"/>
          <c:tx>
            <c:strRef>
              <c:f>Sheet4!$N$21</c:f>
              <c:strCache>
                <c:ptCount val="1"/>
                <c:pt idx="0">
                  <c:v>2 doctor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Sheet4!$O$19:$X$19</c:f>
              <c:strCache>
                <c:ptCount val="10"/>
                <c:pt idx="0">
                  <c:v>1 cama</c:v>
                </c:pt>
                <c:pt idx="1">
                  <c:v>2 camas</c:v>
                </c:pt>
                <c:pt idx="2">
                  <c:v>3 camas</c:v>
                </c:pt>
                <c:pt idx="3">
                  <c:v>4 camas</c:v>
                </c:pt>
                <c:pt idx="4">
                  <c:v>5 camas</c:v>
                </c:pt>
                <c:pt idx="5">
                  <c:v>6 camas</c:v>
                </c:pt>
                <c:pt idx="6">
                  <c:v>7 camas</c:v>
                </c:pt>
                <c:pt idx="7">
                  <c:v>8 camas</c:v>
                </c:pt>
                <c:pt idx="8">
                  <c:v>9 camas</c:v>
                </c:pt>
                <c:pt idx="9">
                  <c:v>10 camas</c:v>
                </c:pt>
              </c:strCache>
            </c:strRef>
          </c:cat>
          <c:val>
            <c:numRef>
              <c:f>Sheet4!$O$21:$X$21</c:f>
              <c:numCache>
                <c:formatCode>General</c:formatCode>
                <c:ptCount val="10"/>
                <c:pt idx="0">
                  <c:v>5.37</c:v>
                </c:pt>
                <c:pt idx="1">
                  <c:v>10.76</c:v>
                </c:pt>
                <c:pt idx="2">
                  <c:v>15.5</c:v>
                </c:pt>
                <c:pt idx="3">
                  <c:v>20.93</c:v>
                </c:pt>
                <c:pt idx="4">
                  <c:v>24.57</c:v>
                </c:pt>
                <c:pt idx="5">
                  <c:v>28.24</c:v>
                </c:pt>
                <c:pt idx="6">
                  <c:v>31.19</c:v>
                </c:pt>
                <c:pt idx="7">
                  <c:v>32.200000000000003</c:v>
                </c:pt>
                <c:pt idx="8">
                  <c:v>32.89</c:v>
                </c:pt>
                <c:pt idx="9">
                  <c:v>33.54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5C-4997-A05E-34BECA48FCF2}"/>
            </c:ext>
          </c:extLst>
        </c:ser>
        <c:ser>
          <c:idx val="2"/>
          <c:order val="2"/>
          <c:tx>
            <c:strRef>
              <c:f>Sheet4!$N$22</c:f>
              <c:strCache>
                <c:ptCount val="1"/>
                <c:pt idx="0">
                  <c:v>3 doctor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Sheet4!$O$19:$X$19</c:f>
              <c:strCache>
                <c:ptCount val="10"/>
                <c:pt idx="0">
                  <c:v>1 cama</c:v>
                </c:pt>
                <c:pt idx="1">
                  <c:v>2 camas</c:v>
                </c:pt>
                <c:pt idx="2">
                  <c:v>3 camas</c:v>
                </c:pt>
                <c:pt idx="3">
                  <c:v>4 camas</c:v>
                </c:pt>
                <c:pt idx="4">
                  <c:v>5 camas</c:v>
                </c:pt>
                <c:pt idx="5">
                  <c:v>6 camas</c:v>
                </c:pt>
                <c:pt idx="6">
                  <c:v>7 camas</c:v>
                </c:pt>
                <c:pt idx="7">
                  <c:v>8 camas</c:v>
                </c:pt>
                <c:pt idx="8">
                  <c:v>9 camas</c:v>
                </c:pt>
                <c:pt idx="9">
                  <c:v>10 camas</c:v>
                </c:pt>
              </c:strCache>
            </c:strRef>
          </c:cat>
          <c:val>
            <c:numRef>
              <c:f>Sheet4!$O$22:$X$22</c:f>
              <c:numCache>
                <c:formatCode>General</c:formatCode>
                <c:ptCount val="10"/>
                <c:pt idx="0">
                  <c:v>5.04</c:v>
                </c:pt>
                <c:pt idx="1">
                  <c:v>10.5</c:v>
                </c:pt>
                <c:pt idx="2">
                  <c:v>15.22</c:v>
                </c:pt>
                <c:pt idx="3">
                  <c:v>20.48</c:v>
                </c:pt>
                <c:pt idx="4">
                  <c:v>23.62</c:v>
                </c:pt>
                <c:pt idx="5">
                  <c:v>27.24</c:v>
                </c:pt>
                <c:pt idx="6">
                  <c:v>30.43</c:v>
                </c:pt>
                <c:pt idx="7">
                  <c:v>31.75</c:v>
                </c:pt>
                <c:pt idx="8">
                  <c:v>32.090000000000003</c:v>
                </c:pt>
                <c:pt idx="9">
                  <c:v>31.81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5C-4997-A05E-34BECA48FCF2}"/>
            </c:ext>
          </c:extLst>
        </c:ser>
        <c:ser>
          <c:idx val="3"/>
          <c:order val="3"/>
          <c:tx>
            <c:strRef>
              <c:f>Sheet4!$N$23</c:f>
              <c:strCache>
                <c:ptCount val="1"/>
                <c:pt idx="0">
                  <c:v>4 doctor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Sheet4!$O$19:$X$19</c:f>
              <c:strCache>
                <c:ptCount val="10"/>
                <c:pt idx="0">
                  <c:v>1 cama</c:v>
                </c:pt>
                <c:pt idx="1">
                  <c:v>2 camas</c:v>
                </c:pt>
                <c:pt idx="2">
                  <c:v>3 camas</c:v>
                </c:pt>
                <c:pt idx="3">
                  <c:v>4 camas</c:v>
                </c:pt>
                <c:pt idx="4">
                  <c:v>5 camas</c:v>
                </c:pt>
                <c:pt idx="5">
                  <c:v>6 camas</c:v>
                </c:pt>
                <c:pt idx="6">
                  <c:v>7 camas</c:v>
                </c:pt>
                <c:pt idx="7">
                  <c:v>8 camas</c:v>
                </c:pt>
                <c:pt idx="8">
                  <c:v>9 camas</c:v>
                </c:pt>
                <c:pt idx="9">
                  <c:v>10 camas</c:v>
                </c:pt>
              </c:strCache>
            </c:strRef>
          </c:cat>
          <c:val>
            <c:numRef>
              <c:f>Sheet4!$O$23:$X$23</c:f>
              <c:numCache>
                <c:formatCode>General</c:formatCode>
                <c:ptCount val="10"/>
                <c:pt idx="0">
                  <c:v>5.24</c:v>
                </c:pt>
                <c:pt idx="1">
                  <c:v>10.5</c:v>
                </c:pt>
                <c:pt idx="2">
                  <c:v>14.94</c:v>
                </c:pt>
                <c:pt idx="3">
                  <c:v>20.07</c:v>
                </c:pt>
                <c:pt idx="4">
                  <c:v>23.63</c:v>
                </c:pt>
                <c:pt idx="5">
                  <c:v>27.01</c:v>
                </c:pt>
                <c:pt idx="6">
                  <c:v>29.97</c:v>
                </c:pt>
                <c:pt idx="7">
                  <c:v>30.93</c:v>
                </c:pt>
                <c:pt idx="8">
                  <c:v>31.38</c:v>
                </c:pt>
                <c:pt idx="9">
                  <c:v>32.1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5C-4997-A05E-34BECA48FCF2}"/>
            </c:ext>
          </c:extLst>
        </c:ser>
        <c:ser>
          <c:idx val="4"/>
          <c:order val="4"/>
          <c:tx>
            <c:strRef>
              <c:f>Sheet4!$N$24</c:f>
              <c:strCache>
                <c:ptCount val="1"/>
                <c:pt idx="0">
                  <c:v>5 doctor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Sheet4!$O$19:$X$19</c:f>
              <c:strCache>
                <c:ptCount val="10"/>
                <c:pt idx="0">
                  <c:v>1 cama</c:v>
                </c:pt>
                <c:pt idx="1">
                  <c:v>2 camas</c:v>
                </c:pt>
                <c:pt idx="2">
                  <c:v>3 camas</c:v>
                </c:pt>
                <c:pt idx="3">
                  <c:v>4 camas</c:v>
                </c:pt>
                <c:pt idx="4">
                  <c:v>5 camas</c:v>
                </c:pt>
                <c:pt idx="5">
                  <c:v>6 camas</c:v>
                </c:pt>
                <c:pt idx="6">
                  <c:v>7 camas</c:v>
                </c:pt>
                <c:pt idx="7">
                  <c:v>8 camas</c:v>
                </c:pt>
                <c:pt idx="8">
                  <c:v>9 camas</c:v>
                </c:pt>
                <c:pt idx="9">
                  <c:v>10 camas</c:v>
                </c:pt>
              </c:strCache>
            </c:strRef>
          </c:cat>
          <c:val>
            <c:numRef>
              <c:f>Sheet4!$O$24:$X$24</c:f>
              <c:numCache>
                <c:formatCode>General</c:formatCode>
                <c:ptCount val="10"/>
                <c:pt idx="0">
                  <c:v>4.87</c:v>
                </c:pt>
                <c:pt idx="1">
                  <c:v>10.17</c:v>
                </c:pt>
                <c:pt idx="2">
                  <c:v>14.63</c:v>
                </c:pt>
                <c:pt idx="3">
                  <c:v>19.100000000000001</c:v>
                </c:pt>
                <c:pt idx="4">
                  <c:v>22.91</c:v>
                </c:pt>
                <c:pt idx="5">
                  <c:v>25.26</c:v>
                </c:pt>
                <c:pt idx="6">
                  <c:v>27.88</c:v>
                </c:pt>
                <c:pt idx="7">
                  <c:v>29.78</c:v>
                </c:pt>
                <c:pt idx="8">
                  <c:v>30.49</c:v>
                </c:pt>
                <c:pt idx="9">
                  <c:v>30.96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5C-4997-A05E-34BECA48FCF2}"/>
            </c:ext>
          </c:extLst>
        </c:ser>
        <c:ser>
          <c:idx val="5"/>
          <c:order val="5"/>
          <c:tx>
            <c:strRef>
              <c:f>Sheet4!$N$25</c:f>
              <c:strCache>
                <c:ptCount val="1"/>
                <c:pt idx="0">
                  <c:v>6 doctor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Sheet4!$O$19:$X$19</c:f>
              <c:strCache>
                <c:ptCount val="10"/>
                <c:pt idx="0">
                  <c:v>1 cama</c:v>
                </c:pt>
                <c:pt idx="1">
                  <c:v>2 camas</c:v>
                </c:pt>
                <c:pt idx="2">
                  <c:v>3 camas</c:v>
                </c:pt>
                <c:pt idx="3">
                  <c:v>4 camas</c:v>
                </c:pt>
                <c:pt idx="4">
                  <c:v>5 camas</c:v>
                </c:pt>
                <c:pt idx="5">
                  <c:v>6 camas</c:v>
                </c:pt>
                <c:pt idx="6">
                  <c:v>7 camas</c:v>
                </c:pt>
                <c:pt idx="7">
                  <c:v>8 camas</c:v>
                </c:pt>
                <c:pt idx="8">
                  <c:v>9 camas</c:v>
                </c:pt>
                <c:pt idx="9">
                  <c:v>10 camas</c:v>
                </c:pt>
              </c:strCache>
            </c:strRef>
          </c:cat>
          <c:val>
            <c:numRef>
              <c:f>Sheet4!$O$25:$X$25</c:f>
              <c:numCache>
                <c:formatCode>General</c:formatCode>
                <c:ptCount val="10"/>
                <c:pt idx="0">
                  <c:v>4.88</c:v>
                </c:pt>
                <c:pt idx="1">
                  <c:v>10.09</c:v>
                </c:pt>
                <c:pt idx="2">
                  <c:v>14.12</c:v>
                </c:pt>
                <c:pt idx="3">
                  <c:v>18.850000000000001</c:v>
                </c:pt>
                <c:pt idx="4">
                  <c:v>22.57</c:v>
                </c:pt>
                <c:pt idx="5">
                  <c:v>25.56</c:v>
                </c:pt>
                <c:pt idx="6">
                  <c:v>27.93</c:v>
                </c:pt>
                <c:pt idx="7">
                  <c:v>28.63</c:v>
                </c:pt>
                <c:pt idx="8">
                  <c:v>30.06</c:v>
                </c:pt>
                <c:pt idx="9">
                  <c:v>30.01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5C-4997-A05E-34BECA48F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479744"/>
        <c:axId val="536478664"/>
      </c:barChart>
      <c:catAx>
        <c:axId val="53647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6478664"/>
        <c:crosses val="autoZero"/>
        <c:auto val="1"/>
        <c:lblAlgn val="ctr"/>
        <c:lblOffset val="100"/>
        <c:noMultiLvlLbl val="0"/>
      </c:catAx>
      <c:valAx>
        <c:axId val="53647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647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title pos="t" align="ctr" overlay="0">
      <cx:tx>
        <cx:txData>
          <cx:v>Número de acciones por cada turno de doctor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Número de acciones por cada turno de doctor</a:t>
          </a:r>
        </a:p>
      </cx:txPr>
    </cx:title>
    <cx:plotArea>
      <cx:plotAreaRegion>
        <cx:series layoutId="boxWhisker" uniqueId="{B221F933-66DB-4CBF-B417-D754C3E479E1}">
          <cx:tx>
            <cx:txData>
              <cx:f>_xlchart.v1.0</cx:f>
              <cx:v>1 doctor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23C23DF0-2329-452D-AFDB-261B49AEB4C5}">
          <cx:tx>
            <cx:txData>
              <cx:f>_xlchart.v1.2</cx:f>
              <cx:v>2 doctores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7E120A9C-7614-4633-A169-EFC4640D6192}">
          <cx:tx>
            <cx:txData>
              <cx:f>_xlchart.v1.4</cx:f>
              <cx:v>3 doctores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6D199A17-A807-4735-84D0-B1C516CC0763}">
          <cx:tx>
            <cx:txData>
              <cx:f>_xlchart.v1.6</cx:f>
              <cx:v>4 doctores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  <cx:series layoutId="boxWhisker" uniqueId="{5C4AABF7-06BF-4B28-B933-88563BBA4261}">
          <cx:tx>
            <cx:txData>
              <cx:f>_xlchart.v1.8</cx:f>
              <cx:v>5 doctores</cx:v>
            </cx:txData>
          </cx:tx>
          <cx:dataId val="4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Acciones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Acciones</a:t>
              </a:r>
            </a:p>
          </cx:txPr>
        </cx:title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1771650</xdr:colOff>
      <xdr:row>5</xdr:row>
      <xdr:rowOff>180975</xdr:rowOff>
    </xdr:from>
    <xdr:to>
      <xdr:col>7</xdr:col>
      <xdr:colOff>409575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7FEAD3-206E-3849-4E15-C4DE90554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1485899</xdr:colOff>
      <xdr:row>27</xdr:row>
      <xdr:rowOff>9525</xdr:rowOff>
    </xdr:from>
    <xdr:to>
      <xdr:col>14</xdr:col>
      <xdr:colOff>9525</xdr:colOff>
      <xdr:row>62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4B9E80-8741-A394-23E7-66DBF63D4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6</xdr:row>
      <xdr:rowOff>47625</xdr:rowOff>
    </xdr:from>
    <xdr:to>
      <xdr:col>20</xdr:col>
      <xdr:colOff>171450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CDF9E-6395-3344-16B7-290071040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5</xdr:row>
      <xdr:rowOff>57150</xdr:rowOff>
    </xdr:from>
    <xdr:to>
      <xdr:col>21</xdr:col>
      <xdr:colOff>114300</xdr:colOff>
      <xdr:row>32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9B9A6D6-50FA-DB7B-0670-5256F5FF2B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15050" y="1009650"/>
              <a:ext cx="7067550" cy="508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14287</xdr:colOff>
      <xdr:row>30</xdr:row>
      <xdr:rowOff>9525</xdr:rowOff>
    </xdr:from>
    <xdr:to>
      <xdr:col>19</xdr:col>
      <xdr:colOff>100012</xdr:colOff>
      <xdr:row>44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EC3851-37B1-F5E7-576A-489071167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14287</xdr:colOff>
      <xdr:row>45</xdr:row>
      <xdr:rowOff>171450</xdr:rowOff>
    </xdr:from>
    <xdr:to>
      <xdr:col>19</xdr:col>
      <xdr:colOff>100012</xdr:colOff>
      <xdr:row>60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6024BD-A568-65F4-96E8-133B0E57C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538162</xdr:colOff>
      <xdr:row>45</xdr:row>
      <xdr:rowOff>142875</xdr:rowOff>
    </xdr:from>
    <xdr:to>
      <xdr:col>12</xdr:col>
      <xdr:colOff>233362</xdr:colOff>
      <xdr:row>60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0C4E9E-5280-05B3-C00F-3FEA4288E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700087</xdr:colOff>
      <xdr:row>46</xdr:row>
      <xdr:rowOff>28575</xdr:rowOff>
    </xdr:from>
    <xdr:to>
      <xdr:col>26</xdr:col>
      <xdr:colOff>109537</xdr:colOff>
      <xdr:row>60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C6A86E-C98A-B2A8-BB68-B16D1D728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566737</xdr:colOff>
      <xdr:row>61</xdr:row>
      <xdr:rowOff>0</xdr:rowOff>
    </xdr:from>
    <xdr:to>
      <xdr:col>12</xdr:col>
      <xdr:colOff>261937</xdr:colOff>
      <xdr:row>75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E45876-ED26-D97F-61F8-0E253923B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128587</xdr:colOff>
      <xdr:row>61</xdr:row>
      <xdr:rowOff>47625</xdr:rowOff>
    </xdr:from>
    <xdr:to>
      <xdr:col>19</xdr:col>
      <xdr:colOff>214312</xdr:colOff>
      <xdr:row>75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8D0797D-7AD0-2C32-66D4-227F12124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776287</xdr:colOff>
      <xdr:row>61</xdr:row>
      <xdr:rowOff>180975</xdr:rowOff>
    </xdr:from>
    <xdr:to>
      <xdr:col>26</xdr:col>
      <xdr:colOff>185737</xdr:colOff>
      <xdr:row>76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4A02BFD-F12C-AA6E-6DA6-180A739AB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123825</xdr:colOff>
      <xdr:row>29</xdr:row>
      <xdr:rowOff>152400</xdr:rowOff>
    </xdr:from>
    <xdr:to>
      <xdr:col>26</xdr:col>
      <xdr:colOff>333375</xdr:colOff>
      <xdr:row>44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84F7AE-C65E-191F-6855-6171CCD3F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2"/>
  <sheetViews>
    <sheetView topLeftCell="A17" workbookViewId="0">
      <selection activeCell="A20" sqref="A20:D32"/>
    </sheetView>
  </sheetViews>
  <sheetFormatPr defaultRowHeight="15" x14ac:dyDescent="0.25"/>
  <cols>
    <col min="1" max="1" width="15.28515625" customWidth="1"/>
    <col min="2" max="2" width="16.7109375" customWidth="1"/>
    <col min="3" max="3" width="18.5703125" customWidth="1"/>
    <col min="4" max="4" width="17.7109375" bestFit="1" customWidth="1"/>
    <col min="5" max="5" width="22.42578125" bestFit="1" customWidth="1"/>
    <col min="6" max="6" width="79.85546875" customWidth="1"/>
  </cols>
  <sheetData>
    <row r="2" spans="1:6" x14ac:dyDescent="0.25">
      <c r="E2" t="s">
        <v>3</v>
      </c>
      <c r="F2" t="s">
        <v>4</v>
      </c>
    </row>
    <row r="3" spans="1:6" x14ac:dyDescent="0.25">
      <c r="C3" t="s">
        <v>0</v>
      </c>
      <c r="D3" t="s">
        <v>1</v>
      </c>
      <c r="E3" t="s">
        <v>2</v>
      </c>
    </row>
    <row r="4" spans="1:6" x14ac:dyDescent="0.25">
      <c r="A4" s="3" t="s">
        <v>5</v>
      </c>
      <c r="B4" t="s">
        <v>6</v>
      </c>
      <c r="C4">
        <v>1</v>
      </c>
      <c r="D4">
        <v>2</v>
      </c>
      <c r="E4">
        <v>28</v>
      </c>
    </row>
    <row r="5" spans="1:6" x14ac:dyDescent="0.25">
      <c r="A5" s="3"/>
      <c r="B5" t="s">
        <v>7</v>
      </c>
      <c r="C5">
        <v>1</v>
      </c>
      <c r="D5">
        <v>5</v>
      </c>
      <c r="E5">
        <v>11.4</v>
      </c>
    </row>
    <row r="6" spans="1:6" x14ac:dyDescent="0.25">
      <c r="A6" s="3"/>
      <c r="B6" t="s">
        <v>8</v>
      </c>
      <c r="C6">
        <v>1</v>
      </c>
      <c r="D6">
        <v>7</v>
      </c>
      <c r="E6">
        <v>1.6</v>
      </c>
    </row>
    <row r="7" spans="1:6" x14ac:dyDescent="0.25">
      <c r="A7" s="3"/>
      <c r="B7" t="s">
        <v>9</v>
      </c>
      <c r="C7">
        <v>1</v>
      </c>
      <c r="D7">
        <v>10</v>
      </c>
      <c r="E7">
        <v>0.6</v>
      </c>
    </row>
    <row r="8" spans="1:6" x14ac:dyDescent="0.25">
      <c r="A8" s="3" t="s">
        <v>10</v>
      </c>
      <c r="B8" t="s">
        <v>6</v>
      </c>
      <c r="C8">
        <v>3</v>
      </c>
      <c r="D8">
        <v>2</v>
      </c>
      <c r="E8">
        <v>28.8</v>
      </c>
    </row>
    <row r="9" spans="1:6" x14ac:dyDescent="0.25">
      <c r="A9" s="3"/>
      <c r="B9" t="s">
        <v>7</v>
      </c>
      <c r="C9">
        <v>3</v>
      </c>
      <c r="D9">
        <v>5</v>
      </c>
      <c r="E9">
        <v>16</v>
      </c>
    </row>
    <row r="10" spans="1:6" x14ac:dyDescent="0.25">
      <c r="A10" s="3"/>
      <c r="B10" t="s">
        <v>8</v>
      </c>
      <c r="C10">
        <v>3</v>
      </c>
      <c r="D10">
        <v>7</v>
      </c>
      <c r="E10">
        <v>7</v>
      </c>
    </row>
    <row r="11" spans="1:6" x14ac:dyDescent="0.25">
      <c r="A11" s="3"/>
      <c r="B11" t="s">
        <v>9</v>
      </c>
      <c r="C11">
        <v>3</v>
      </c>
      <c r="D11">
        <v>10</v>
      </c>
      <c r="E11">
        <v>0</v>
      </c>
    </row>
    <row r="12" spans="1:6" x14ac:dyDescent="0.25">
      <c r="A12" s="3" t="s">
        <v>11</v>
      </c>
      <c r="B12" t="s">
        <v>6</v>
      </c>
      <c r="C12">
        <v>5</v>
      </c>
      <c r="D12">
        <v>2</v>
      </c>
      <c r="E12">
        <v>32</v>
      </c>
    </row>
    <row r="13" spans="1:6" x14ac:dyDescent="0.25">
      <c r="A13" s="3"/>
      <c r="B13" t="s">
        <v>7</v>
      </c>
      <c r="C13">
        <v>5</v>
      </c>
      <c r="D13">
        <v>5</v>
      </c>
      <c r="E13">
        <v>7</v>
      </c>
    </row>
    <row r="14" spans="1:6" x14ac:dyDescent="0.25">
      <c r="A14" s="3"/>
      <c r="B14" t="s">
        <v>8</v>
      </c>
      <c r="C14">
        <v>5</v>
      </c>
      <c r="D14">
        <v>7</v>
      </c>
      <c r="E14">
        <v>3</v>
      </c>
    </row>
    <row r="15" spans="1:6" x14ac:dyDescent="0.25">
      <c r="A15" s="3"/>
      <c r="B15" t="s">
        <v>9</v>
      </c>
      <c r="C15">
        <v>5</v>
      </c>
      <c r="D15">
        <v>10</v>
      </c>
      <c r="E15">
        <v>0</v>
      </c>
    </row>
    <row r="20" spans="1:4" x14ac:dyDescent="0.25">
      <c r="C20" t="s">
        <v>2</v>
      </c>
      <c r="D20" t="s">
        <v>1</v>
      </c>
    </row>
    <row r="21" spans="1:4" x14ac:dyDescent="0.25">
      <c r="A21" s="3" t="s">
        <v>12</v>
      </c>
      <c r="B21" t="s">
        <v>6</v>
      </c>
      <c r="C21">
        <v>28</v>
      </c>
      <c r="D21">
        <v>2</v>
      </c>
    </row>
    <row r="22" spans="1:4" x14ac:dyDescent="0.25">
      <c r="A22" s="3"/>
      <c r="B22" t="s">
        <v>7</v>
      </c>
      <c r="C22">
        <v>11.4</v>
      </c>
      <c r="D22">
        <v>5</v>
      </c>
    </row>
    <row r="23" spans="1:4" x14ac:dyDescent="0.25">
      <c r="A23" s="3"/>
      <c r="B23" t="s">
        <v>8</v>
      </c>
      <c r="C23">
        <v>1.6</v>
      </c>
      <c r="D23">
        <v>7</v>
      </c>
    </row>
    <row r="24" spans="1:4" x14ac:dyDescent="0.25">
      <c r="A24" s="3"/>
      <c r="B24" t="s">
        <v>9</v>
      </c>
      <c r="C24">
        <v>0.6</v>
      </c>
      <c r="D24">
        <v>10</v>
      </c>
    </row>
    <row r="25" spans="1:4" x14ac:dyDescent="0.25">
      <c r="A25" s="3" t="s">
        <v>13</v>
      </c>
      <c r="B25" t="s">
        <v>6</v>
      </c>
      <c r="C25">
        <v>28.8</v>
      </c>
      <c r="D25">
        <v>2</v>
      </c>
    </row>
    <row r="26" spans="1:4" x14ac:dyDescent="0.25">
      <c r="A26" s="3"/>
      <c r="B26" t="s">
        <v>7</v>
      </c>
      <c r="C26">
        <v>16</v>
      </c>
      <c r="D26">
        <v>5</v>
      </c>
    </row>
    <row r="27" spans="1:4" x14ac:dyDescent="0.25">
      <c r="A27" s="3"/>
      <c r="B27" t="s">
        <v>8</v>
      </c>
      <c r="C27">
        <v>7</v>
      </c>
      <c r="D27">
        <v>7</v>
      </c>
    </row>
    <row r="28" spans="1:4" x14ac:dyDescent="0.25">
      <c r="A28" s="3"/>
      <c r="B28" t="s">
        <v>9</v>
      </c>
      <c r="C28">
        <v>0</v>
      </c>
      <c r="D28">
        <v>10</v>
      </c>
    </row>
    <row r="29" spans="1:4" x14ac:dyDescent="0.25">
      <c r="A29" s="3" t="s">
        <v>14</v>
      </c>
      <c r="B29" t="s">
        <v>6</v>
      </c>
      <c r="C29">
        <v>32</v>
      </c>
      <c r="D29">
        <v>2</v>
      </c>
    </row>
    <row r="30" spans="1:4" x14ac:dyDescent="0.25">
      <c r="A30" s="3"/>
      <c r="B30" t="s">
        <v>7</v>
      </c>
      <c r="C30">
        <v>7</v>
      </c>
      <c r="D30">
        <v>5</v>
      </c>
    </row>
    <row r="31" spans="1:4" x14ac:dyDescent="0.25">
      <c r="A31" s="3"/>
      <c r="B31" t="s">
        <v>8</v>
      </c>
      <c r="C31">
        <v>3</v>
      </c>
      <c r="D31">
        <v>7</v>
      </c>
    </row>
    <row r="32" spans="1:4" x14ac:dyDescent="0.25">
      <c r="A32" s="3"/>
      <c r="B32" t="s">
        <v>9</v>
      </c>
      <c r="C32">
        <v>0</v>
      </c>
      <c r="D32">
        <v>10</v>
      </c>
    </row>
  </sheetData>
  <mergeCells count="6">
    <mergeCell ref="A29:A32"/>
    <mergeCell ref="A4:A7"/>
    <mergeCell ref="A8:A11"/>
    <mergeCell ref="A12:A15"/>
    <mergeCell ref="A21:A24"/>
    <mergeCell ref="A25:A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43DD-7303-4C9D-98CC-66CE222925FE}">
  <dimension ref="A2:C16"/>
  <sheetViews>
    <sheetView workbookViewId="0">
      <selection activeCell="V22" sqref="V22"/>
    </sheetView>
  </sheetViews>
  <sheetFormatPr defaultRowHeight="15" x14ac:dyDescent="0.25"/>
  <cols>
    <col min="1" max="1" width="21.85546875" customWidth="1"/>
    <col min="2" max="2" width="18.5703125" customWidth="1"/>
    <col min="3" max="3" width="22.42578125" bestFit="1" customWidth="1"/>
    <col min="4" max="4" width="18.28515625" customWidth="1"/>
    <col min="5" max="5" width="12.85546875" customWidth="1"/>
  </cols>
  <sheetData>
    <row r="2" spans="1:3" x14ac:dyDescent="0.25">
      <c r="A2" t="s">
        <v>15</v>
      </c>
    </row>
    <row r="4" spans="1:3" x14ac:dyDescent="0.25">
      <c r="C4" t="s">
        <v>2</v>
      </c>
    </row>
    <row r="5" spans="1:3" x14ac:dyDescent="0.25">
      <c r="A5" s="3" t="s">
        <v>16</v>
      </c>
      <c r="B5" t="s">
        <v>6</v>
      </c>
      <c r="C5">
        <v>28.16</v>
      </c>
    </row>
    <row r="6" spans="1:3" x14ac:dyDescent="0.25">
      <c r="A6" s="3"/>
      <c r="B6" t="s">
        <v>7</v>
      </c>
      <c r="C6">
        <v>11.61</v>
      </c>
    </row>
    <row r="7" spans="1:3" x14ac:dyDescent="0.25">
      <c r="A7" s="3"/>
      <c r="B7" t="s">
        <v>8</v>
      </c>
      <c r="C7">
        <v>3.72</v>
      </c>
    </row>
    <row r="8" spans="1:3" x14ac:dyDescent="0.25">
      <c r="A8" s="3"/>
      <c r="B8" t="s">
        <v>9</v>
      </c>
      <c r="C8">
        <v>0.53</v>
      </c>
    </row>
    <row r="9" spans="1:3" x14ac:dyDescent="0.25">
      <c r="A9" s="3" t="s">
        <v>17</v>
      </c>
      <c r="B9" t="s">
        <v>6</v>
      </c>
      <c r="C9">
        <v>27.78</v>
      </c>
    </row>
    <row r="10" spans="1:3" x14ac:dyDescent="0.25">
      <c r="A10" s="3"/>
      <c r="B10" t="s">
        <v>7</v>
      </c>
      <c r="C10">
        <v>12.04</v>
      </c>
    </row>
    <row r="11" spans="1:3" x14ac:dyDescent="0.25">
      <c r="A11" s="3"/>
      <c r="B11" t="s">
        <v>8</v>
      </c>
      <c r="C11">
        <v>3.71</v>
      </c>
    </row>
    <row r="12" spans="1:3" x14ac:dyDescent="0.25">
      <c r="A12" s="3"/>
      <c r="B12" t="s">
        <v>9</v>
      </c>
      <c r="C12">
        <v>0.5</v>
      </c>
    </row>
    <row r="13" spans="1:3" x14ac:dyDescent="0.25">
      <c r="A13" s="3" t="s">
        <v>18</v>
      </c>
      <c r="B13" t="s">
        <v>6</v>
      </c>
      <c r="C13">
        <v>28</v>
      </c>
    </row>
    <row r="14" spans="1:3" x14ac:dyDescent="0.25">
      <c r="A14" s="3"/>
      <c r="B14" t="s">
        <v>7</v>
      </c>
      <c r="C14">
        <v>10.96</v>
      </c>
    </row>
    <row r="15" spans="1:3" x14ac:dyDescent="0.25">
      <c r="A15" s="3"/>
      <c r="B15" t="s">
        <v>8</v>
      </c>
      <c r="C15">
        <v>3.59</v>
      </c>
    </row>
    <row r="16" spans="1:3" x14ac:dyDescent="0.25">
      <c r="A16" s="3"/>
      <c r="B16" t="s">
        <v>9</v>
      </c>
      <c r="C16">
        <v>0.48</v>
      </c>
    </row>
  </sheetData>
  <mergeCells count="3">
    <mergeCell ref="A5:A8"/>
    <mergeCell ref="A9:A12"/>
    <mergeCell ref="A13:A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05BE-319C-4840-8CF6-2D5E6594D5F5}">
  <dimension ref="B1:F202"/>
  <sheetViews>
    <sheetView zoomScaleNormal="100" workbookViewId="0">
      <selection activeCell="T4" sqref="T4"/>
    </sheetView>
  </sheetViews>
  <sheetFormatPr defaultRowHeight="15" x14ac:dyDescent="0.25"/>
  <cols>
    <col min="3" max="6" width="10.140625" bestFit="1" customWidth="1"/>
  </cols>
  <sheetData>
    <row r="1" spans="2:6" x14ac:dyDescent="0.25">
      <c r="E1" t="s">
        <v>24</v>
      </c>
      <c r="F1" t="s">
        <v>7</v>
      </c>
    </row>
    <row r="2" spans="2:6" x14ac:dyDescent="0.25">
      <c r="B2" t="s">
        <v>23</v>
      </c>
      <c r="C2" t="s">
        <v>22</v>
      </c>
      <c r="D2" t="s">
        <v>21</v>
      </c>
      <c r="E2" t="s">
        <v>20</v>
      </c>
      <c r="F2" t="s">
        <v>19</v>
      </c>
    </row>
    <row r="3" spans="2:6" x14ac:dyDescent="0.25">
      <c r="B3">
        <v>0</v>
      </c>
      <c r="C3">
        <v>0</v>
      </c>
      <c r="D3">
        <v>0</v>
      </c>
      <c r="E3">
        <v>0</v>
      </c>
      <c r="F3">
        <v>0</v>
      </c>
    </row>
    <row r="4" spans="2:6" x14ac:dyDescent="0.25">
      <c r="B4">
        <v>2</v>
      </c>
      <c r="C4">
        <v>1</v>
      </c>
      <c r="D4">
        <v>0</v>
      </c>
      <c r="E4">
        <v>1</v>
      </c>
      <c r="F4">
        <v>0</v>
      </c>
    </row>
    <row r="5" spans="2:6" x14ac:dyDescent="0.25">
      <c r="B5">
        <v>5</v>
      </c>
      <c r="C5">
        <v>2</v>
      </c>
      <c r="D5">
        <v>0</v>
      </c>
      <c r="E5">
        <v>0</v>
      </c>
      <c r="F5">
        <v>0</v>
      </c>
    </row>
    <row r="6" spans="2:6" x14ac:dyDescent="0.25">
      <c r="B6">
        <v>0</v>
      </c>
      <c r="C6">
        <v>2</v>
      </c>
      <c r="D6">
        <v>1</v>
      </c>
      <c r="E6">
        <v>0</v>
      </c>
      <c r="F6">
        <v>0</v>
      </c>
    </row>
    <row r="7" spans="2:6" x14ac:dyDescent="0.25">
      <c r="B7">
        <v>1</v>
      </c>
      <c r="C7">
        <v>1</v>
      </c>
      <c r="D7">
        <v>0</v>
      </c>
      <c r="E7">
        <v>0</v>
      </c>
      <c r="F7">
        <v>1</v>
      </c>
    </row>
    <row r="8" spans="2:6" x14ac:dyDescent="0.25">
      <c r="B8">
        <v>0</v>
      </c>
      <c r="C8">
        <v>1</v>
      </c>
      <c r="D8">
        <v>1</v>
      </c>
      <c r="E8">
        <v>0</v>
      </c>
      <c r="F8">
        <v>0</v>
      </c>
    </row>
    <row r="9" spans="2:6" x14ac:dyDescent="0.25">
      <c r="B9">
        <v>3</v>
      </c>
      <c r="C9">
        <v>2</v>
      </c>
      <c r="D9">
        <v>0</v>
      </c>
      <c r="E9">
        <v>1</v>
      </c>
      <c r="F9">
        <v>0</v>
      </c>
    </row>
    <row r="10" spans="2:6" x14ac:dyDescent="0.25">
      <c r="B10">
        <v>0</v>
      </c>
      <c r="C10">
        <v>2</v>
      </c>
      <c r="D10">
        <v>1</v>
      </c>
      <c r="E10">
        <v>0</v>
      </c>
      <c r="F10">
        <v>0</v>
      </c>
    </row>
    <row r="11" spans="2:6" x14ac:dyDescent="0.25">
      <c r="B11">
        <v>1</v>
      </c>
      <c r="C11">
        <v>0</v>
      </c>
      <c r="D11">
        <v>0</v>
      </c>
      <c r="E11">
        <v>2</v>
      </c>
      <c r="F11">
        <v>0</v>
      </c>
    </row>
    <row r="12" spans="2:6" x14ac:dyDescent="0.25">
      <c r="B12">
        <v>1</v>
      </c>
      <c r="C12">
        <v>0</v>
      </c>
      <c r="D12">
        <v>0</v>
      </c>
      <c r="E12">
        <v>0</v>
      </c>
      <c r="F12">
        <v>0</v>
      </c>
    </row>
    <row r="13" spans="2:6" x14ac:dyDescent="0.25">
      <c r="B13">
        <v>1</v>
      </c>
      <c r="C13">
        <v>0</v>
      </c>
      <c r="D13">
        <v>1</v>
      </c>
      <c r="E13">
        <v>1</v>
      </c>
      <c r="F13">
        <v>1</v>
      </c>
    </row>
    <row r="14" spans="2:6" x14ac:dyDescent="0.25">
      <c r="B14">
        <v>6</v>
      </c>
      <c r="C14">
        <v>3</v>
      </c>
      <c r="D14">
        <v>0</v>
      </c>
      <c r="E14">
        <v>1</v>
      </c>
      <c r="F14">
        <v>0</v>
      </c>
    </row>
    <row r="15" spans="2:6" x14ac:dyDescent="0.25">
      <c r="B15">
        <v>1</v>
      </c>
      <c r="C15">
        <v>2</v>
      </c>
      <c r="D15">
        <v>2</v>
      </c>
      <c r="E15">
        <v>0</v>
      </c>
      <c r="F15">
        <v>0</v>
      </c>
    </row>
    <row r="16" spans="2:6" x14ac:dyDescent="0.25">
      <c r="B16">
        <v>0</v>
      </c>
      <c r="C16">
        <v>0</v>
      </c>
      <c r="D16">
        <v>1</v>
      </c>
      <c r="E16">
        <v>0</v>
      </c>
      <c r="F16">
        <v>0</v>
      </c>
    </row>
    <row r="17" spans="2:6" x14ac:dyDescent="0.25">
      <c r="B17">
        <v>0</v>
      </c>
      <c r="C17">
        <v>1</v>
      </c>
      <c r="D17">
        <v>0</v>
      </c>
      <c r="E17">
        <v>0</v>
      </c>
      <c r="F17">
        <v>0</v>
      </c>
    </row>
    <row r="18" spans="2:6" x14ac:dyDescent="0.25">
      <c r="B18">
        <v>0</v>
      </c>
      <c r="C18">
        <v>0</v>
      </c>
      <c r="D18">
        <v>2</v>
      </c>
      <c r="E18">
        <v>0</v>
      </c>
      <c r="F18">
        <v>0</v>
      </c>
    </row>
    <row r="19" spans="2:6" x14ac:dyDescent="0.25">
      <c r="B19">
        <v>0</v>
      </c>
      <c r="C19">
        <v>0</v>
      </c>
      <c r="D19">
        <v>0</v>
      </c>
      <c r="E19">
        <v>0</v>
      </c>
      <c r="F19">
        <v>0</v>
      </c>
    </row>
    <row r="20" spans="2:6" x14ac:dyDescent="0.25">
      <c r="B20">
        <v>0</v>
      </c>
      <c r="C20">
        <v>1</v>
      </c>
      <c r="D20">
        <v>0</v>
      </c>
      <c r="E20">
        <v>0</v>
      </c>
      <c r="F20">
        <v>0</v>
      </c>
    </row>
    <row r="21" spans="2:6" x14ac:dyDescent="0.25">
      <c r="B21">
        <v>0</v>
      </c>
      <c r="C21">
        <v>0</v>
      </c>
      <c r="D21">
        <v>0</v>
      </c>
      <c r="E21">
        <v>0</v>
      </c>
      <c r="F21">
        <v>0</v>
      </c>
    </row>
    <row r="22" spans="2:6" x14ac:dyDescent="0.25">
      <c r="B22">
        <v>2</v>
      </c>
      <c r="C22">
        <v>1</v>
      </c>
      <c r="D22">
        <v>0</v>
      </c>
      <c r="E22">
        <v>0</v>
      </c>
      <c r="F22">
        <v>0</v>
      </c>
    </row>
    <row r="23" spans="2:6" x14ac:dyDescent="0.25">
      <c r="B23">
        <v>0</v>
      </c>
      <c r="C23">
        <v>1</v>
      </c>
      <c r="D23">
        <v>0</v>
      </c>
      <c r="E23">
        <v>0</v>
      </c>
      <c r="F23">
        <v>0</v>
      </c>
    </row>
    <row r="24" spans="2:6" x14ac:dyDescent="0.25">
      <c r="B24">
        <v>2</v>
      </c>
      <c r="C24">
        <v>0</v>
      </c>
      <c r="D24">
        <v>0</v>
      </c>
      <c r="E24">
        <v>0</v>
      </c>
      <c r="F24">
        <v>0</v>
      </c>
    </row>
    <row r="25" spans="2:6" x14ac:dyDescent="0.25">
      <c r="B25">
        <v>0</v>
      </c>
      <c r="C25">
        <v>2</v>
      </c>
      <c r="D25">
        <v>0</v>
      </c>
      <c r="E25">
        <v>0</v>
      </c>
      <c r="F25">
        <v>0</v>
      </c>
    </row>
    <row r="26" spans="2:6" x14ac:dyDescent="0.25">
      <c r="B26">
        <v>0</v>
      </c>
      <c r="C26">
        <v>0</v>
      </c>
      <c r="D26">
        <v>0</v>
      </c>
      <c r="E26">
        <v>2</v>
      </c>
      <c r="F26">
        <v>0</v>
      </c>
    </row>
    <row r="27" spans="2:6" x14ac:dyDescent="0.25">
      <c r="B27">
        <v>0</v>
      </c>
      <c r="C27">
        <v>2</v>
      </c>
      <c r="D27">
        <v>0</v>
      </c>
      <c r="E27">
        <v>0</v>
      </c>
      <c r="F27">
        <v>0</v>
      </c>
    </row>
    <row r="28" spans="2:6" x14ac:dyDescent="0.25">
      <c r="B28">
        <v>1</v>
      </c>
      <c r="C28">
        <v>1</v>
      </c>
      <c r="D28">
        <v>3</v>
      </c>
      <c r="E28">
        <v>0</v>
      </c>
      <c r="F28">
        <v>1</v>
      </c>
    </row>
    <row r="29" spans="2:6" x14ac:dyDescent="0.25">
      <c r="B29">
        <v>3</v>
      </c>
      <c r="C29">
        <v>0</v>
      </c>
      <c r="D29">
        <v>1</v>
      </c>
      <c r="E29">
        <v>0</v>
      </c>
      <c r="F29">
        <v>0</v>
      </c>
    </row>
    <row r="30" spans="2:6" x14ac:dyDescent="0.25">
      <c r="B30">
        <v>2</v>
      </c>
      <c r="C30">
        <v>0</v>
      </c>
      <c r="D30">
        <v>2</v>
      </c>
      <c r="E30">
        <v>0</v>
      </c>
      <c r="F30">
        <v>0</v>
      </c>
    </row>
    <row r="31" spans="2:6" x14ac:dyDescent="0.25">
      <c r="B31">
        <v>0</v>
      </c>
      <c r="C31">
        <v>1</v>
      </c>
      <c r="D31">
        <v>2</v>
      </c>
      <c r="E31">
        <v>0</v>
      </c>
      <c r="F31">
        <v>0</v>
      </c>
    </row>
    <row r="32" spans="2:6" x14ac:dyDescent="0.25">
      <c r="B32">
        <v>0</v>
      </c>
      <c r="C32">
        <v>1</v>
      </c>
      <c r="D32">
        <v>0</v>
      </c>
      <c r="E32">
        <v>0</v>
      </c>
      <c r="F32">
        <v>0</v>
      </c>
    </row>
    <row r="33" spans="2:6" x14ac:dyDescent="0.25">
      <c r="B33">
        <v>0</v>
      </c>
      <c r="C33">
        <v>0</v>
      </c>
      <c r="D33">
        <v>1</v>
      </c>
      <c r="E33">
        <v>0</v>
      </c>
      <c r="F33">
        <v>0</v>
      </c>
    </row>
    <row r="34" spans="2:6" x14ac:dyDescent="0.25">
      <c r="B34">
        <v>2</v>
      </c>
      <c r="C34">
        <v>0</v>
      </c>
      <c r="D34">
        <v>0</v>
      </c>
      <c r="E34">
        <v>0</v>
      </c>
      <c r="F34">
        <v>0</v>
      </c>
    </row>
    <row r="35" spans="2:6" x14ac:dyDescent="0.25">
      <c r="B35">
        <v>0</v>
      </c>
      <c r="C35">
        <v>0</v>
      </c>
      <c r="D35">
        <v>1</v>
      </c>
      <c r="E35">
        <v>0</v>
      </c>
      <c r="F35">
        <v>0</v>
      </c>
    </row>
    <row r="36" spans="2:6" x14ac:dyDescent="0.25">
      <c r="B36">
        <v>2</v>
      </c>
      <c r="C36">
        <v>0</v>
      </c>
      <c r="D36">
        <v>0</v>
      </c>
      <c r="E36">
        <v>0</v>
      </c>
      <c r="F36">
        <v>1</v>
      </c>
    </row>
    <row r="37" spans="2:6" x14ac:dyDescent="0.25">
      <c r="B37">
        <v>0</v>
      </c>
      <c r="C37">
        <v>1</v>
      </c>
      <c r="D37">
        <v>0</v>
      </c>
      <c r="E37">
        <v>0</v>
      </c>
      <c r="F37">
        <v>0</v>
      </c>
    </row>
    <row r="38" spans="2:6" x14ac:dyDescent="0.25">
      <c r="B38">
        <v>0</v>
      </c>
      <c r="C38">
        <v>1</v>
      </c>
      <c r="D38">
        <v>0</v>
      </c>
      <c r="E38">
        <v>0</v>
      </c>
      <c r="F38">
        <v>0</v>
      </c>
    </row>
    <row r="39" spans="2:6" x14ac:dyDescent="0.25">
      <c r="B39">
        <v>0</v>
      </c>
      <c r="C39">
        <v>1</v>
      </c>
      <c r="D39">
        <v>0</v>
      </c>
      <c r="E39">
        <v>1</v>
      </c>
      <c r="F39">
        <v>0</v>
      </c>
    </row>
    <row r="40" spans="2:6" x14ac:dyDescent="0.25">
      <c r="B40">
        <v>0</v>
      </c>
      <c r="C40">
        <v>1</v>
      </c>
      <c r="D40">
        <v>1</v>
      </c>
      <c r="E40">
        <v>0</v>
      </c>
      <c r="F40">
        <v>0</v>
      </c>
    </row>
    <row r="41" spans="2:6" x14ac:dyDescent="0.25">
      <c r="B41">
        <v>4</v>
      </c>
      <c r="C41">
        <v>0</v>
      </c>
      <c r="D41">
        <v>1</v>
      </c>
      <c r="E41">
        <v>0</v>
      </c>
      <c r="F41">
        <v>0</v>
      </c>
    </row>
    <row r="42" spans="2:6" x14ac:dyDescent="0.25">
      <c r="B42">
        <v>0</v>
      </c>
      <c r="C42">
        <v>0</v>
      </c>
      <c r="D42">
        <v>0</v>
      </c>
      <c r="E42">
        <v>1</v>
      </c>
      <c r="F42">
        <v>0</v>
      </c>
    </row>
    <row r="43" spans="2:6" x14ac:dyDescent="0.25">
      <c r="B43">
        <v>1</v>
      </c>
      <c r="C43">
        <v>0</v>
      </c>
      <c r="D43">
        <v>0</v>
      </c>
      <c r="E43">
        <v>0</v>
      </c>
      <c r="F43">
        <v>0</v>
      </c>
    </row>
    <row r="44" spans="2:6" x14ac:dyDescent="0.25">
      <c r="B44">
        <v>1</v>
      </c>
      <c r="C44">
        <v>0</v>
      </c>
      <c r="D44">
        <v>0</v>
      </c>
      <c r="E44">
        <v>1</v>
      </c>
      <c r="F44">
        <v>0</v>
      </c>
    </row>
    <row r="45" spans="2:6" x14ac:dyDescent="0.25">
      <c r="B45">
        <v>0</v>
      </c>
      <c r="C45">
        <v>0</v>
      </c>
      <c r="D45">
        <v>0</v>
      </c>
      <c r="E45">
        <v>0</v>
      </c>
      <c r="F45">
        <v>1</v>
      </c>
    </row>
    <row r="46" spans="2:6" x14ac:dyDescent="0.25">
      <c r="B46">
        <v>2</v>
      </c>
      <c r="C46">
        <v>0</v>
      </c>
      <c r="D46">
        <v>0</v>
      </c>
      <c r="E46">
        <v>0</v>
      </c>
      <c r="F46">
        <v>2</v>
      </c>
    </row>
    <row r="47" spans="2:6" x14ac:dyDescent="0.25">
      <c r="B47">
        <v>2</v>
      </c>
      <c r="C47">
        <v>0</v>
      </c>
      <c r="D47">
        <v>0</v>
      </c>
      <c r="E47">
        <v>0</v>
      </c>
      <c r="F47">
        <v>0</v>
      </c>
    </row>
    <row r="48" spans="2:6" x14ac:dyDescent="0.25">
      <c r="B48">
        <v>0</v>
      </c>
      <c r="C48">
        <v>0</v>
      </c>
      <c r="D48">
        <v>0</v>
      </c>
      <c r="E48">
        <v>0</v>
      </c>
      <c r="F48">
        <v>0</v>
      </c>
    </row>
    <row r="49" spans="2:6" x14ac:dyDescent="0.25">
      <c r="B49">
        <v>0</v>
      </c>
      <c r="C49">
        <v>3</v>
      </c>
      <c r="D49">
        <v>0</v>
      </c>
      <c r="E49">
        <v>0</v>
      </c>
      <c r="F49">
        <v>0</v>
      </c>
    </row>
    <row r="50" spans="2:6" x14ac:dyDescent="0.25">
      <c r="B50">
        <v>0</v>
      </c>
      <c r="C50">
        <v>1</v>
      </c>
      <c r="D50">
        <v>0</v>
      </c>
      <c r="E50">
        <v>0</v>
      </c>
      <c r="F50">
        <v>0</v>
      </c>
    </row>
    <row r="51" spans="2:6" x14ac:dyDescent="0.25">
      <c r="B51">
        <v>0</v>
      </c>
      <c r="C51">
        <v>1</v>
      </c>
      <c r="D51">
        <v>0</v>
      </c>
      <c r="E51">
        <v>0</v>
      </c>
      <c r="F51">
        <v>0</v>
      </c>
    </row>
    <row r="52" spans="2:6" x14ac:dyDescent="0.25">
      <c r="B52">
        <v>0</v>
      </c>
      <c r="C52">
        <v>1</v>
      </c>
      <c r="D52">
        <v>0</v>
      </c>
      <c r="E52">
        <v>0</v>
      </c>
      <c r="F52">
        <v>0</v>
      </c>
    </row>
    <row r="53" spans="2:6" x14ac:dyDescent="0.25">
      <c r="B53">
        <v>4</v>
      </c>
      <c r="C53">
        <v>1</v>
      </c>
      <c r="D53">
        <v>0</v>
      </c>
      <c r="E53">
        <v>0</v>
      </c>
      <c r="F53">
        <v>0</v>
      </c>
    </row>
    <row r="54" spans="2:6" x14ac:dyDescent="0.25">
      <c r="B54">
        <v>4</v>
      </c>
      <c r="C54">
        <v>1</v>
      </c>
      <c r="D54">
        <v>1</v>
      </c>
      <c r="E54">
        <v>0</v>
      </c>
      <c r="F54">
        <v>1</v>
      </c>
    </row>
    <row r="55" spans="2:6" x14ac:dyDescent="0.25">
      <c r="B55">
        <v>4</v>
      </c>
      <c r="C55">
        <v>3</v>
      </c>
      <c r="D55">
        <v>0</v>
      </c>
      <c r="E55">
        <v>0</v>
      </c>
      <c r="F55">
        <v>0</v>
      </c>
    </row>
    <row r="56" spans="2:6" x14ac:dyDescent="0.25">
      <c r="B56">
        <v>0</v>
      </c>
      <c r="C56">
        <v>1</v>
      </c>
      <c r="D56">
        <v>1</v>
      </c>
      <c r="E56">
        <v>1</v>
      </c>
      <c r="F56">
        <v>1</v>
      </c>
    </row>
    <row r="57" spans="2:6" x14ac:dyDescent="0.25">
      <c r="B57">
        <v>0</v>
      </c>
      <c r="C57">
        <v>0</v>
      </c>
      <c r="D57">
        <v>0</v>
      </c>
      <c r="E57">
        <v>0</v>
      </c>
      <c r="F57">
        <v>0</v>
      </c>
    </row>
    <row r="58" spans="2:6" x14ac:dyDescent="0.25">
      <c r="B58">
        <v>2</v>
      </c>
      <c r="C58">
        <v>2</v>
      </c>
      <c r="D58">
        <v>0</v>
      </c>
      <c r="E58">
        <v>1</v>
      </c>
      <c r="F58">
        <v>1</v>
      </c>
    </row>
    <row r="59" spans="2:6" x14ac:dyDescent="0.25">
      <c r="B59">
        <v>4</v>
      </c>
      <c r="C59">
        <v>0</v>
      </c>
      <c r="D59">
        <v>0</v>
      </c>
      <c r="E59">
        <v>0</v>
      </c>
      <c r="F59">
        <v>0</v>
      </c>
    </row>
    <row r="60" spans="2:6" x14ac:dyDescent="0.25">
      <c r="B60">
        <v>2</v>
      </c>
      <c r="C60">
        <v>0</v>
      </c>
      <c r="D60">
        <v>0</v>
      </c>
      <c r="E60">
        <v>0</v>
      </c>
      <c r="F60">
        <v>1</v>
      </c>
    </row>
    <row r="61" spans="2:6" x14ac:dyDescent="0.25">
      <c r="B61">
        <v>2</v>
      </c>
      <c r="C61">
        <v>0</v>
      </c>
      <c r="D61">
        <v>0</v>
      </c>
      <c r="E61">
        <v>0</v>
      </c>
      <c r="F61">
        <v>0</v>
      </c>
    </row>
    <row r="62" spans="2:6" x14ac:dyDescent="0.25">
      <c r="B62">
        <v>0</v>
      </c>
      <c r="C62">
        <v>2</v>
      </c>
      <c r="D62">
        <v>0</v>
      </c>
      <c r="E62">
        <v>0</v>
      </c>
      <c r="F62">
        <v>0</v>
      </c>
    </row>
    <row r="63" spans="2:6" x14ac:dyDescent="0.25">
      <c r="B63">
        <v>2</v>
      </c>
      <c r="C63">
        <v>0</v>
      </c>
      <c r="D63">
        <v>0</v>
      </c>
      <c r="E63">
        <v>0</v>
      </c>
      <c r="F63">
        <v>0</v>
      </c>
    </row>
    <row r="64" spans="2:6" x14ac:dyDescent="0.25">
      <c r="B64">
        <v>2</v>
      </c>
      <c r="C64">
        <v>2</v>
      </c>
      <c r="D64">
        <v>0</v>
      </c>
      <c r="E64">
        <v>0</v>
      </c>
      <c r="F64">
        <v>0</v>
      </c>
    </row>
    <row r="65" spans="2:6" x14ac:dyDescent="0.25">
      <c r="B65">
        <v>1</v>
      </c>
      <c r="C65">
        <v>1</v>
      </c>
      <c r="D65">
        <v>0</v>
      </c>
      <c r="E65">
        <v>0</v>
      </c>
      <c r="F65">
        <v>1</v>
      </c>
    </row>
    <row r="66" spans="2:6" x14ac:dyDescent="0.25">
      <c r="B66">
        <v>3</v>
      </c>
      <c r="C66">
        <v>1</v>
      </c>
      <c r="D66">
        <v>0</v>
      </c>
      <c r="E66">
        <v>0</v>
      </c>
      <c r="F66">
        <v>0</v>
      </c>
    </row>
    <row r="67" spans="2:6" x14ac:dyDescent="0.25">
      <c r="B67">
        <v>4</v>
      </c>
      <c r="C67">
        <v>0</v>
      </c>
      <c r="D67">
        <v>0</v>
      </c>
      <c r="E67">
        <v>1</v>
      </c>
      <c r="F67">
        <v>0</v>
      </c>
    </row>
    <row r="68" spans="2:6" x14ac:dyDescent="0.25">
      <c r="B68">
        <v>0</v>
      </c>
      <c r="C68">
        <v>0</v>
      </c>
      <c r="D68">
        <v>0</v>
      </c>
      <c r="E68">
        <v>1</v>
      </c>
      <c r="F68">
        <v>0</v>
      </c>
    </row>
    <row r="69" spans="2:6" x14ac:dyDescent="0.25">
      <c r="B69">
        <v>3</v>
      </c>
      <c r="C69">
        <v>0</v>
      </c>
      <c r="D69">
        <v>0</v>
      </c>
      <c r="E69">
        <v>2</v>
      </c>
      <c r="F69">
        <v>1</v>
      </c>
    </row>
    <row r="70" spans="2:6" x14ac:dyDescent="0.25">
      <c r="B70">
        <v>3</v>
      </c>
      <c r="C70">
        <v>0</v>
      </c>
      <c r="D70">
        <v>0</v>
      </c>
      <c r="E70">
        <v>2</v>
      </c>
      <c r="F70">
        <v>0</v>
      </c>
    </row>
    <row r="71" spans="2:6" x14ac:dyDescent="0.25">
      <c r="B71">
        <v>0</v>
      </c>
      <c r="C71">
        <v>0</v>
      </c>
      <c r="D71">
        <v>0</v>
      </c>
      <c r="E71">
        <v>0</v>
      </c>
      <c r="F71">
        <v>0</v>
      </c>
    </row>
    <row r="72" spans="2:6" x14ac:dyDescent="0.25">
      <c r="B72">
        <v>0</v>
      </c>
      <c r="C72">
        <v>0</v>
      </c>
      <c r="D72">
        <v>0</v>
      </c>
      <c r="E72">
        <v>0</v>
      </c>
      <c r="F72">
        <v>1</v>
      </c>
    </row>
    <row r="73" spans="2:6" x14ac:dyDescent="0.25">
      <c r="B73">
        <v>2</v>
      </c>
      <c r="C73">
        <v>0</v>
      </c>
      <c r="D73">
        <v>0</v>
      </c>
      <c r="E73">
        <v>0</v>
      </c>
      <c r="F73">
        <v>0</v>
      </c>
    </row>
    <row r="74" spans="2:6" x14ac:dyDescent="0.25">
      <c r="B74">
        <v>0</v>
      </c>
      <c r="C74">
        <v>0</v>
      </c>
      <c r="D74">
        <v>0</v>
      </c>
      <c r="E74">
        <v>0</v>
      </c>
      <c r="F74">
        <v>0</v>
      </c>
    </row>
    <row r="75" spans="2:6" x14ac:dyDescent="0.25">
      <c r="B75">
        <v>2</v>
      </c>
      <c r="C75">
        <v>0</v>
      </c>
      <c r="D75">
        <v>1</v>
      </c>
      <c r="E75">
        <v>0</v>
      </c>
      <c r="F75">
        <v>0</v>
      </c>
    </row>
    <row r="76" spans="2:6" x14ac:dyDescent="0.25">
      <c r="B76">
        <v>0</v>
      </c>
      <c r="C76">
        <v>0</v>
      </c>
      <c r="D76">
        <v>0</v>
      </c>
      <c r="E76">
        <v>0</v>
      </c>
      <c r="F76">
        <v>0</v>
      </c>
    </row>
    <row r="77" spans="2:6" x14ac:dyDescent="0.25">
      <c r="B77">
        <v>2</v>
      </c>
      <c r="C77">
        <v>0</v>
      </c>
      <c r="D77">
        <v>1</v>
      </c>
      <c r="E77">
        <v>0</v>
      </c>
      <c r="F77">
        <v>0</v>
      </c>
    </row>
    <row r="78" spans="2:6" x14ac:dyDescent="0.25">
      <c r="B78">
        <v>2</v>
      </c>
      <c r="C78">
        <v>0</v>
      </c>
      <c r="D78">
        <v>0</v>
      </c>
      <c r="E78">
        <v>0</v>
      </c>
      <c r="F78">
        <v>0</v>
      </c>
    </row>
    <row r="79" spans="2:6" x14ac:dyDescent="0.25">
      <c r="B79">
        <v>2</v>
      </c>
      <c r="C79">
        <v>7</v>
      </c>
      <c r="D79">
        <v>0</v>
      </c>
      <c r="E79">
        <v>0</v>
      </c>
      <c r="F79">
        <v>0</v>
      </c>
    </row>
    <row r="80" spans="2:6" x14ac:dyDescent="0.25">
      <c r="B80">
        <v>2</v>
      </c>
      <c r="C80">
        <v>1</v>
      </c>
      <c r="D80">
        <v>0</v>
      </c>
      <c r="E80">
        <v>0</v>
      </c>
      <c r="F80">
        <v>0</v>
      </c>
    </row>
    <row r="81" spans="2:6" x14ac:dyDescent="0.25">
      <c r="B81">
        <v>2</v>
      </c>
      <c r="C81">
        <v>0</v>
      </c>
      <c r="D81">
        <v>0</v>
      </c>
      <c r="E81">
        <v>0</v>
      </c>
      <c r="F81">
        <v>0</v>
      </c>
    </row>
    <row r="82" spans="2:6" x14ac:dyDescent="0.25">
      <c r="B82">
        <v>2</v>
      </c>
      <c r="C82">
        <v>0</v>
      </c>
      <c r="D82">
        <v>0</v>
      </c>
      <c r="E82">
        <v>0</v>
      </c>
      <c r="F82">
        <v>1</v>
      </c>
    </row>
    <row r="83" spans="2:6" x14ac:dyDescent="0.25">
      <c r="B83">
        <v>0</v>
      </c>
      <c r="C83">
        <v>3</v>
      </c>
      <c r="D83">
        <v>0</v>
      </c>
      <c r="E83">
        <v>0</v>
      </c>
      <c r="F83">
        <v>0</v>
      </c>
    </row>
    <row r="84" spans="2:6" x14ac:dyDescent="0.25">
      <c r="B84">
        <v>4</v>
      </c>
      <c r="C84">
        <v>0</v>
      </c>
      <c r="D84">
        <v>0</v>
      </c>
      <c r="E84">
        <v>0</v>
      </c>
      <c r="F84">
        <v>0</v>
      </c>
    </row>
    <row r="85" spans="2:6" x14ac:dyDescent="0.25">
      <c r="B85">
        <v>0</v>
      </c>
      <c r="C85">
        <v>1</v>
      </c>
      <c r="D85">
        <v>0</v>
      </c>
      <c r="E85">
        <v>0</v>
      </c>
      <c r="F85">
        <v>0</v>
      </c>
    </row>
    <row r="86" spans="2:6" x14ac:dyDescent="0.25">
      <c r="B86">
        <v>1</v>
      </c>
      <c r="C86">
        <v>2</v>
      </c>
      <c r="D86">
        <v>0</v>
      </c>
      <c r="E86">
        <v>0</v>
      </c>
      <c r="F86">
        <v>0</v>
      </c>
    </row>
    <row r="87" spans="2:6" x14ac:dyDescent="0.25">
      <c r="B87">
        <v>1</v>
      </c>
      <c r="C87">
        <v>0</v>
      </c>
      <c r="D87">
        <v>0</v>
      </c>
      <c r="E87">
        <v>1</v>
      </c>
      <c r="F87">
        <v>0</v>
      </c>
    </row>
    <row r="88" spans="2:6" x14ac:dyDescent="0.25">
      <c r="B88">
        <v>0</v>
      </c>
      <c r="C88">
        <v>0</v>
      </c>
      <c r="D88">
        <v>0</v>
      </c>
      <c r="E88">
        <v>1</v>
      </c>
      <c r="F88">
        <v>0</v>
      </c>
    </row>
    <row r="89" spans="2:6" x14ac:dyDescent="0.25">
      <c r="B89">
        <v>0</v>
      </c>
      <c r="C89">
        <v>2</v>
      </c>
      <c r="D89">
        <v>0</v>
      </c>
      <c r="E89">
        <v>0</v>
      </c>
      <c r="F89">
        <v>0</v>
      </c>
    </row>
    <row r="90" spans="2:6" x14ac:dyDescent="0.25">
      <c r="B90">
        <v>0</v>
      </c>
      <c r="C90">
        <v>0</v>
      </c>
      <c r="D90">
        <v>1</v>
      </c>
      <c r="E90">
        <v>0</v>
      </c>
      <c r="F90">
        <v>0</v>
      </c>
    </row>
    <row r="91" spans="2:6" x14ac:dyDescent="0.25">
      <c r="B91">
        <v>2</v>
      </c>
      <c r="C91">
        <v>0</v>
      </c>
      <c r="D91">
        <v>0</v>
      </c>
      <c r="E91">
        <v>0</v>
      </c>
      <c r="F91">
        <v>0</v>
      </c>
    </row>
    <row r="92" spans="2:6" x14ac:dyDescent="0.25">
      <c r="B92">
        <v>0</v>
      </c>
      <c r="C92">
        <v>0</v>
      </c>
      <c r="D92">
        <v>1</v>
      </c>
      <c r="E92">
        <v>0</v>
      </c>
      <c r="F92">
        <v>0</v>
      </c>
    </row>
    <row r="93" spans="2:6" x14ac:dyDescent="0.25">
      <c r="B93">
        <v>0</v>
      </c>
      <c r="C93">
        <v>0</v>
      </c>
      <c r="D93">
        <v>0</v>
      </c>
      <c r="E93">
        <v>0</v>
      </c>
      <c r="F93">
        <v>1</v>
      </c>
    </row>
    <row r="94" spans="2:6" x14ac:dyDescent="0.25">
      <c r="B94">
        <v>2</v>
      </c>
      <c r="C94">
        <v>0</v>
      </c>
      <c r="D94">
        <v>2</v>
      </c>
      <c r="E94">
        <v>0</v>
      </c>
      <c r="F94">
        <v>0</v>
      </c>
    </row>
    <row r="95" spans="2:6" x14ac:dyDescent="0.25">
      <c r="B95">
        <v>0</v>
      </c>
      <c r="C95">
        <v>2</v>
      </c>
      <c r="D95">
        <v>0</v>
      </c>
      <c r="E95">
        <v>0</v>
      </c>
      <c r="F95">
        <v>0</v>
      </c>
    </row>
    <row r="96" spans="2:6" x14ac:dyDescent="0.25">
      <c r="B96">
        <v>2</v>
      </c>
      <c r="C96">
        <v>0</v>
      </c>
      <c r="D96">
        <v>0</v>
      </c>
      <c r="E96">
        <v>0</v>
      </c>
      <c r="F96">
        <v>1</v>
      </c>
    </row>
    <row r="97" spans="2:6" x14ac:dyDescent="0.25">
      <c r="B97">
        <v>2</v>
      </c>
      <c r="C97">
        <v>0</v>
      </c>
      <c r="D97">
        <v>0</v>
      </c>
      <c r="E97">
        <v>0</v>
      </c>
      <c r="F97">
        <v>0</v>
      </c>
    </row>
    <row r="98" spans="2:6" x14ac:dyDescent="0.25">
      <c r="B98">
        <v>2</v>
      </c>
      <c r="C98">
        <v>0</v>
      </c>
      <c r="D98">
        <v>0</v>
      </c>
      <c r="E98">
        <v>0</v>
      </c>
      <c r="F98">
        <v>0</v>
      </c>
    </row>
    <row r="99" spans="2:6" x14ac:dyDescent="0.25">
      <c r="B99">
        <v>2</v>
      </c>
      <c r="C99">
        <v>0</v>
      </c>
      <c r="D99">
        <v>1</v>
      </c>
      <c r="E99">
        <v>0</v>
      </c>
      <c r="F99">
        <v>0</v>
      </c>
    </row>
    <row r="100" spans="2:6" x14ac:dyDescent="0.25">
      <c r="B100">
        <v>3</v>
      </c>
      <c r="C100">
        <v>0</v>
      </c>
      <c r="D100">
        <v>1</v>
      </c>
      <c r="E100">
        <v>0</v>
      </c>
      <c r="F100">
        <v>0</v>
      </c>
    </row>
    <row r="101" spans="2:6" x14ac:dyDescent="0.25">
      <c r="B101">
        <v>3</v>
      </c>
      <c r="C101">
        <v>1</v>
      </c>
      <c r="D101">
        <v>0</v>
      </c>
      <c r="E101">
        <v>0</v>
      </c>
      <c r="F101">
        <v>0</v>
      </c>
    </row>
    <row r="102" spans="2:6" x14ac:dyDescent="0.25">
      <c r="B102">
        <v>0</v>
      </c>
      <c r="C102">
        <v>1</v>
      </c>
      <c r="D102">
        <v>2</v>
      </c>
      <c r="E102">
        <v>0</v>
      </c>
      <c r="F102">
        <v>0</v>
      </c>
    </row>
    <row r="103" spans="2:6" x14ac:dyDescent="0.25">
      <c r="B103">
        <v>3</v>
      </c>
      <c r="C103">
        <v>0</v>
      </c>
      <c r="D103">
        <v>0</v>
      </c>
      <c r="E103">
        <v>0</v>
      </c>
      <c r="F103">
        <v>1</v>
      </c>
    </row>
    <row r="104" spans="2:6" x14ac:dyDescent="0.25">
      <c r="B104">
        <v>1</v>
      </c>
      <c r="C104">
        <v>2</v>
      </c>
      <c r="D104">
        <v>4</v>
      </c>
      <c r="E104">
        <v>1</v>
      </c>
      <c r="F104">
        <v>0</v>
      </c>
    </row>
    <row r="105" spans="2:6" x14ac:dyDescent="0.25">
      <c r="B105">
        <v>0</v>
      </c>
      <c r="C105">
        <v>3</v>
      </c>
      <c r="D105">
        <v>1</v>
      </c>
      <c r="E105">
        <v>1</v>
      </c>
      <c r="F105">
        <v>1</v>
      </c>
    </row>
    <row r="106" spans="2:6" x14ac:dyDescent="0.25">
      <c r="B106">
        <v>2</v>
      </c>
      <c r="C106">
        <v>1</v>
      </c>
      <c r="D106">
        <v>0</v>
      </c>
      <c r="E106">
        <v>1</v>
      </c>
      <c r="F106">
        <v>0</v>
      </c>
    </row>
    <row r="107" spans="2:6" x14ac:dyDescent="0.25">
      <c r="B107">
        <v>0</v>
      </c>
      <c r="C107">
        <v>0</v>
      </c>
      <c r="D107">
        <v>1</v>
      </c>
      <c r="E107">
        <v>0</v>
      </c>
      <c r="F107">
        <v>0</v>
      </c>
    </row>
    <row r="108" spans="2:6" x14ac:dyDescent="0.25">
      <c r="B108">
        <v>1</v>
      </c>
      <c r="C108">
        <v>0</v>
      </c>
      <c r="D108">
        <v>0</v>
      </c>
      <c r="E108">
        <v>0</v>
      </c>
      <c r="F108">
        <v>1</v>
      </c>
    </row>
    <row r="109" spans="2:6" x14ac:dyDescent="0.25">
      <c r="B109">
        <v>1</v>
      </c>
      <c r="C109">
        <v>0</v>
      </c>
      <c r="D109">
        <v>0</v>
      </c>
      <c r="E109">
        <v>0</v>
      </c>
      <c r="F109">
        <v>0</v>
      </c>
    </row>
    <row r="110" spans="2:6" x14ac:dyDescent="0.25">
      <c r="B110">
        <v>0</v>
      </c>
      <c r="C110">
        <v>0</v>
      </c>
      <c r="D110">
        <v>0</v>
      </c>
      <c r="E110">
        <v>1</v>
      </c>
      <c r="F110">
        <v>0</v>
      </c>
    </row>
    <row r="111" spans="2:6" x14ac:dyDescent="0.25">
      <c r="B111">
        <v>2</v>
      </c>
      <c r="C111">
        <v>0</v>
      </c>
      <c r="D111">
        <v>3</v>
      </c>
      <c r="E111">
        <v>0</v>
      </c>
      <c r="F111">
        <v>0</v>
      </c>
    </row>
    <row r="112" spans="2:6" x14ac:dyDescent="0.25">
      <c r="B112">
        <v>1</v>
      </c>
      <c r="C112">
        <v>0</v>
      </c>
      <c r="D112">
        <v>1</v>
      </c>
      <c r="E112">
        <v>0</v>
      </c>
      <c r="F112">
        <v>1</v>
      </c>
    </row>
    <row r="113" spans="2:6" x14ac:dyDescent="0.25">
      <c r="B113">
        <v>1</v>
      </c>
      <c r="C113">
        <v>1</v>
      </c>
      <c r="D113">
        <v>1</v>
      </c>
      <c r="E113">
        <v>0</v>
      </c>
      <c r="F113">
        <v>1</v>
      </c>
    </row>
    <row r="114" spans="2:6" x14ac:dyDescent="0.25">
      <c r="B114">
        <v>0</v>
      </c>
      <c r="C114">
        <v>1</v>
      </c>
      <c r="D114">
        <v>0</v>
      </c>
      <c r="E114">
        <v>1</v>
      </c>
      <c r="F114">
        <v>0</v>
      </c>
    </row>
    <row r="115" spans="2:6" x14ac:dyDescent="0.25">
      <c r="B115">
        <v>0</v>
      </c>
      <c r="C115">
        <v>0</v>
      </c>
      <c r="D115">
        <v>0</v>
      </c>
      <c r="E115">
        <v>0</v>
      </c>
      <c r="F115">
        <v>0</v>
      </c>
    </row>
    <row r="116" spans="2:6" x14ac:dyDescent="0.25">
      <c r="B116">
        <v>0</v>
      </c>
      <c r="C116">
        <v>0</v>
      </c>
      <c r="D116">
        <v>1</v>
      </c>
      <c r="E116">
        <v>0</v>
      </c>
      <c r="F116">
        <v>3</v>
      </c>
    </row>
    <row r="117" spans="2:6" x14ac:dyDescent="0.25">
      <c r="B117">
        <v>0</v>
      </c>
      <c r="C117">
        <v>1</v>
      </c>
      <c r="D117">
        <v>0</v>
      </c>
      <c r="E117">
        <v>1</v>
      </c>
      <c r="F117">
        <v>0</v>
      </c>
    </row>
    <row r="118" spans="2:6" x14ac:dyDescent="0.25">
      <c r="B118">
        <v>2</v>
      </c>
      <c r="C118">
        <v>1</v>
      </c>
      <c r="D118">
        <v>0</v>
      </c>
      <c r="E118">
        <v>0</v>
      </c>
      <c r="F118">
        <v>0</v>
      </c>
    </row>
    <row r="119" spans="2:6" x14ac:dyDescent="0.25">
      <c r="B119">
        <v>2</v>
      </c>
      <c r="C119">
        <v>1</v>
      </c>
      <c r="D119">
        <v>0</v>
      </c>
      <c r="E119">
        <v>0</v>
      </c>
      <c r="F119">
        <v>3</v>
      </c>
    </row>
    <row r="120" spans="2:6" x14ac:dyDescent="0.25">
      <c r="B120">
        <v>2</v>
      </c>
      <c r="C120">
        <v>0</v>
      </c>
      <c r="D120">
        <v>2</v>
      </c>
      <c r="E120">
        <v>0</v>
      </c>
      <c r="F120">
        <v>1</v>
      </c>
    </row>
    <row r="121" spans="2:6" x14ac:dyDescent="0.25">
      <c r="B121">
        <v>0</v>
      </c>
      <c r="C121">
        <v>2</v>
      </c>
      <c r="D121">
        <v>2</v>
      </c>
      <c r="E121">
        <v>0</v>
      </c>
      <c r="F121">
        <v>0</v>
      </c>
    </row>
    <row r="122" spans="2:6" x14ac:dyDescent="0.25">
      <c r="B122">
        <v>0</v>
      </c>
      <c r="C122">
        <v>2</v>
      </c>
      <c r="D122">
        <v>1</v>
      </c>
      <c r="E122">
        <v>0</v>
      </c>
      <c r="F122">
        <v>0</v>
      </c>
    </row>
    <row r="123" spans="2:6" x14ac:dyDescent="0.25">
      <c r="B123">
        <v>0</v>
      </c>
      <c r="C123">
        <v>0</v>
      </c>
      <c r="D123">
        <v>1</v>
      </c>
      <c r="E123">
        <v>0</v>
      </c>
      <c r="F123">
        <v>0</v>
      </c>
    </row>
    <row r="124" spans="2:6" x14ac:dyDescent="0.25">
      <c r="B124">
        <v>0</v>
      </c>
      <c r="C124">
        <v>3</v>
      </c>
      <c r="D124">
        <v>0</v>
      </c>
      <c r="E124">
        <v>0</v>
      </c>
      <c r="F124">
        <v>0</v>
      </c>
    </row>
    <row r="125" spans="2:6" x14ac:dyDescent="0.25">
      <c r="B125">
        <v>0</v>
      </c>
      <c r="C125">
        <v>0</v>
      </c>
      <c r="D125">
        <v>0</v>
      </c>
      <c r="E125">
        <v>0</v>
      </c>
      <c r="F125">
        <v>1</v>
      </c>
    </row>
    <row r="126" spans="2:6" x14ac:dyDescent="0.25">
      <c r="B126">
        <v>0</v>
      </c>
      <c r="C126">
        <v>0</v>
      </c>
      <c r="D126">
        <v>1</v>
      </c>
      <c r="E126">
        <v>0</v>
      </c>
      <c r="F126">
        <v>0</v>
      </c>
    </row>
    <row r="127" spans="2:6" x14ac:dyDescent="0.25">
      <c r="B127">
        <v>3</v>
      </c>
      <c r="C127">
        <v>2</v>
      </c>
      <c r="D127">
        <v>1</v>
      </c>
      <c r="E127">
        <v>0</v>
      </c>
      <c r="F127">
        <v>1</v>
      </c>
    </row>
    <row r="128" spans="2:6" x14ac:dyDescent="0.25">
      <c r="B128">
        <v>1</v>
      </c>
      <c r="C128">
        <v>2</v>
      </c>
      <c r="D128">
        <v>2</v>
      </c>
      <c r="E128">
        <v>0</v>
      </c>
      <c r="F128">
        <v>0</v>
      </c>
    </row>
    <row r="129" spans="2:6" x14ac:dyDescent="0.25">
      <c r="B129">
        <v>0</v>
      </c>
      <c r="C129">
        <v>2</v>
      </c>
      <c r="D129">
        <v>0</v>
      </c>
      <c r="E129">
        <v>0</v>
      </c>
      <c r="F129">
        <v>0</v>
      </c>
    </row>
    <row r="130" spans="2:6" x14ac:dyDescent="0.25">
      <c r="B130">
        <v>0</v>
      </c>
      <c r="C130">
        <v>0</v>
      </c>
      <c r="D130">
        <v>0</v>
      </c>
      <c r="E130">
        <v>0</v>
      </c>
      <c r="F130">
        <v>0</v>
      </c>
    </row>
    <row r="131" spans="2:6" x14ac:dyDescent="0.25">
      <c r="B131">
        <v>0</v>
      </c>
      <c r="C131">
        <v>2</v>
      </c>
      <c r="D131">
        <v>0</v>
      </c>
      <c r="E131">
        <v>1</v>
      </c>
      <c r="F131">
        <v>1</v>
      </c>
    </row>
    <row r="132" spans="2:6" x14ac:dyDescent="0.25">
      <c r="B132">
        <v>2</v>
      </c>
      <c r="C132">
        <v>0</v>
      </c>
      <c r="D132">
        <v>0</v>
      </c>
      <c r="E132">
        <v>1</v>
      </c>
      <c r="F132">
        <v>1</v>
      </c>
    </row>
    <row r="133" spans="2:6" x14ac:dyDescent="0.25">
      <c r="B133">
        <v>2</v>
      </c>
      <c r="C133">
        <v>2</v>
      </c>
      <c r="D133">
        <v>0</v>
      </c>
      <c r="E133">
        <v>1</v>
      </c>
      <c r="F133">
        <v>1</v>
      </c>
    </row>
    <row r="134" spans="2:6" x14ac:dyDescent="0.25">
      <c r="B134">
        <v>0</v>
      </c>
      <c r="C134">
        <v>2</v>
      </c>
      <c r="D134">
        <v>0</v>
      </c>
      <c r="E134">
        <v>1</v>
      </c>
      <c r="F134">
        <v>1</v>
      </c>
    </row>
    <row r="135" spans="2:6" x14ac:dyDescent="0.25">
      <c r="B135">
        <v>0</v>
      </c>
      <c r="C135">
        <v>0</v>
      </c>
      <c r="D135">
        <v>0</v>
      </c>
      <c r="E135">
        <v>0</v>
      </c>
      <c r="F135">
        <v>0</v>
      </c>
    </row>
    <row r="136" spans="2:6" x14ac:dyDescent="0.25">
      <c r="B136">
        <v>4</v>
      </c>
      <c r="C136">
        <v>0</v>
      </c>
      <c r="D136">
        <v>0</v>
      </c>
      <c r="E136">
        <v>2</v>
      </c>
      <c r="F136">
        <v>0</v>
      </c>
    </row>
    <row r="137" spans="2:6" x14ac:dyDescent="0.25">
      <c r="B137">
        <v>2</v>
      </c>
      <c r="C137">
        <v>1</v>
      </c>
      <c r="D137">
        <v>0</v>
      </c>
      <c r="E137">
        <v>0</v>
      </c>
      <c r="F137">
        <v>0</v>
      </c>
    </row>
    <row r="138" spans="2:6" x14ac:dyDescent="0.25">
      <c r="B138">
        <v>0</v>
      </c>
      <c r="C138">
        <v>3</v>
      </c>
      <c r="D138">
        <v>2</v>
      </c>
      <c r="E138">
        <v>2</v>
      </c>
      <c r="F138">
        <v>0</v>
      </c>
    </row>
    <row r="139" spans="2:6" x14ac:dyDescent="0.25">
      <c r="B139">
        <v>2</v>
      </c>
      <c r="C139">
        <v>2</v>
      </c>
      <c r="D139">
        <v>0</v>
      </c>
      <c r="E139">
        <v>2</v>
      </c>
      <c r="F139">
        <v>0</v>
      </c>
    </row>
    <row r="140" spans="2:6" x14ac:dyDescent="0.25">
      <c r="B140">
        <v>2</v>
      </c>
      <c r="C140">
        <v>0</v>
      </c>
      <c r="D140">
        <v>0</v>
      </c>
      <c r="E140">
        <v>0</v>
      </c>
      <c r="F140">
        <v>0</v>
      </c>
    </row>
    <row r="141" spans="2:6" x14ac:dyDescent="0.25">
      <c r="B141">
        <v>6</v>
      </c>
      <c r="C141">
        <v>1</v>
      </c>
      <c r="D141">
        <v>3</v>
      </c>
      <c r="E141">
        <v>0</v>
      </c>
      <c r="F141">
        <v>0</v>
      </c>
    </row>
    <row r="142" spans="2:6" x14ac:dyDescent="0.25">
      <c r="B142">
        <v>2</v>
      </c>
      <c r="C142">
        <v>3</v>
      </c>
      <c r="D142">
        <v>2</v>
      </c>
      <c r="E142">
        <v>0</v>
      </c>
      <c r="F142">
        <v>0</v>
      </c>
    </row>
    <row r="143" spans="2:6" x14ac:dyDescent="0.25">
      <c r="B143">
        <v>0</v>
      </c>
      <c r="C143">
        <v>0</v>
      </c>
      <c r="D143">
        <v>1</v>
      </c>
      <c r="E143">
        <v>0</v>
      </c>
      <c r="F143">
        <v>0</v>
      </c>
    </row>
    <row r="144" spans="2:6" x14ac:dyDescent="0.25">
      <c r="B144">
        <v>0</v>
      </c>
      <c r="C144">
        <v>0</v>
      </c>
      <c r="D144">
        <v>0</v>
      </c>
      <c r="E144">
        <v>0</v>
      </c>
      <c r="F144">
        <v>0</v>
      </c>
    </row>
    <row r="145" spans="2:6" x14ac:dyDescent="0.25">
      <c r="B145">
        <v>0</v>
      </c>
      <c r="C145">
        <v>0</v>
      </c>
      <c r="D145">
        <v>0</v>
      </c>
      <c r="E145">
        <v>0</v>
      </c>
      <c r="F145">
        <v>0</v>
      </c>
    </row>
    <row r="146" spans="2:6" x14ac:dyDescent="0.25">
      <c r="B146">
        <v>4</v>
      </c>
      <c r="C146">
        <v>0</v>
      </c>
      <c r="D146">
        <v>0</v>
      </c>
      <c r="E146">
        <v>0</v>
      </c>
      <c r="F146">
        <v>0</v>
      </c>
    </row>
    <row r="147" spans="2:6" x14ac:dyDescent="0.25">
      <c r="B147">
        <v>6</v>
      </c>
      <c r="C147">
        <v>0</v>
      </c>
      <c r="D147">
        <v>0</v>
      </c>
      <c r="E147">
        <v>0</v>
      </c>
      <c r="F147">
        <v>0</v>
      </c>
    </row>
    <row r="148" spans="2:6" x14ac:dyDescent="0.25">
      <c r="B148">
        <v>0</v>
      </c>
      <c r="C148">
        <v>0</v>
      </c>
      <c r="D148">
        <v>0</v>
      </c>
      <c r="E148">
        <v>1</v>
      </c>
      <c r="F148">
        <v>0</v>
      </c>
    </row>
    <row r="149" spans="2:6" x14ac:dyDescent="0.25">
      <c r="B149">
        <v>2</v>
      </c>
      <c r="C149">
        <v>0</v>
      </c>
      <c r="D149">
        <v>0</v>
      </c>
      <c r="E149">
        <v>1</v>
      </c>
      <c r="F149">
        <v>0</v>
      </c>
    </row>
    <row r="150" spans="2:6" x14ac:dyDescent="0.25">
      <c r="B150">
        <v>0</v>
      </c>
      <c r="C150">
        <v>0</v>
      </c>
      <c r="D150">
        <v>0</v>
      </c>
      <c r="E150">
        <v>0</v>
      </c>
      <c r="F150">
        <v>0</v>
      </c>
    </row>
    <row r="151" spans="2:6" x14ac:dyDescent="0.25">
      <c r="B151">
        <v>0</v>
      </c>
      <c r="C151">
        <v>0</v>
      </c>
      <c r="D151">
        <v>0</v>
      </c>
      <c r="E151">
        <v>0</v>
      </c>
      <c r="F151">
        <v>0</v>
      </c>
    </row>
    <row r="152" spans="2:6" x14ac:dyDescent="0.25">
      <c r="B152">
        <v>0</v>
      </c>
      <c r="C152">
        <v>2</v>
      </c>
      <c r="D152">
        <v>0</v>
      </c>
      <c r="E152">
        <v>0</v>
      </c>
      <c r="F152">
        <v>0</v>
      </c>
    </row>
    <row r="153" spans="2:6" x14ac:dyDescent="0.25">
      <c r="B153">
        <v>2</v>
      </c>
      <c r="C153">
        <v>0</v>
      </c>
      <c r="D153">
        <v>0</v>
      </c>
      <c r="E153">
        <v>0</v>
      </c>
      <c r="F153">
        <v>0</v>
      </c>
    </row>
    <row r="154" spans="2:6" x14ac:dyDescent="0.25">
      <c r="B154">
        <v>0</v>
      </c>
      <c r="C154">
        <v>0</v>
      </c>
      <c r="D154">
        <v>0</v>
      </c>
      <c r="E154">
        <v>0</v>
      </c>
      <c r="F154">
        <v>0</v>
      </c>
    </row>
    <row r="155" spans="2:6" x14ac:dyDescent="0.25">
      <c r="B155">
        <v>0</v>
      </c>
      <c r="C155">
        <v>2</v>
      </c>
      <c r="D155">
        <v>0</v>
      </c>
      <c r="E155">
        <v>1</v>
      </c>
      <c r="F155">
        <v>0</v>
      </c>
    </row>
    <row r="156" spans="2:6" x14ac:dyDescent="0.25">
      <c r="B156">
        <v>0</v>
      </c>
      <c r="C156">
        <v>0</v>
      </c>
      <c r="D156">
        <v>1</v>
      </c>
      <c r="E156">
        <v>1</v>
      </c>
      <c r="F156">
        <v>0</v>
      </c>
    </row>
    <row r="157" spans="2:6" x14ac:dyDescent="0.25">
      <c r="B157">
        <v>0</v>
      </c>
      <c r="C157">
        <v>0</v>
      </c>
      <c r="D157">
        <v>1</v>
      </c>
      <c r="E157">
        <v>1</v>
      </c>
      <c r="F157">
        <v>0</v>
      </c>
    </row>
    <row r="158" spans="2:6" x14ac:dyDescent="0.25">
      <c r="B158">
        <v>5</v>
      </c>
      <c r="C158">
        <v>0</v>
      </c>
      <c r="D158">
        <v>0</v>
      </c>
      <c r="E158">
        <v>2</v>
      </c>
      <c r="F158">
        <v>0</v>
      </c>
    </row>
    <row r="159" spans="2:6" x14ac:dyDescent="0.25">
      <c r="B159">
        <v>3</v>
      </c>
      <c r="C159">
        <v>0</v>
      </c>
      <c r="D159">
        <v>0</v>
      </c>
      <c r="E159">
        <v>1</v>
      </c>
      <c r="F159">
        <v>0</v>
      </c>
    </row>
    <row r="160" spans="2:6" x14ac:dyDescent="0.25">
      <c r="B160">
        <v>0</v>
      </c>
      <c r="C160">
        <v>0</v>
      </c>
      <c r="D160">
        <v>0</v>
      </c>
      <c r="E160">
        <v>0</v>
      </c>
      <c r="F160">
        <v>0</v>
      </c>
    </row>
    <row r="161" spans="2:6" x14ac:dyDescent="0.25">
      <c r="B161">
        <v>2</v>
      </c>
      <c r="C161">
        <v>0</v>
      </c>
      <c r="D161">
        <v>2</v>
      </c>
      <c r="E161">
        <v>0</v>
      </c>
      <c r="F161">
        <v>0</v>
      </c>
    </row>
    <row r="162" spans="2:6" x14ac:dyDescent="0.25">
      <c r="B162">
        <v>0</v>
      </c>
      <c r="C162">
        <v>0</v>
      </c>
      <c r="D162">
        <v>0</v>
      </c>
      <c r="E162">
        <v>0</v>
      </c>
      <c r="F162">
        <v>0</v>
      </c>
    </row>
    <row r="163" spans="2:6" x14ac:dyDescent="0.25">
      <c r="B163">
        <v>2</v>
      </c>
      <c r="C163">
        <v>0</v>
      </c>
      <c r="D163">
        <v>0</v>
      </c>
      <c r="E163">
        <v>0</v>
      </c>
      <c r="F163">
        <v>0</v>
      </c>
    </row>
    <row r="164" spans="2:6" x14ac:dyDescent="0.25">
      <c r="B164">
        <v>2</v>
      </c>
      <c r="C164">
        <v>2</v>
      </c>
      <c r="D164">
        <v>4</v>
      </c>
      <c r="E164">
        <v>0</v>
      </c>
      <c r="F164">
        <v>0</v>
      </c>
    </row>
    <row r="165" spans="2:6" x14ac:dyDescent="0.25">
      <c r="B165">
        <v>4</v>
      </c>
      <c r="C165">
        <v>0</v>
      </c>
      <c r="D165">
        <v>0</v>
      </c>
      <c r="E165">
        <v>0</v>
      </c>
      <c r="F165">
        <v>1</v>
      </c>
    </row>
    <row r="166" spans="2:6" x14ac:dyDescent="0.25">
      <c r="B166">
        <v>0</v>
      </c>
      <c r="C166">
        <v>0</v>
      </c>
      <c r="D166">
        <v>2</v>
      </c>
      <c r="E166">
        <v>0</v>
      </c>
      <c r="F166">
        <v>0</v>
      </c>
    </row>
    <row r="167" spans="2:6" x14ac:dyDescent="0.25">
      <c r="B167">
        <v>4</v>
      </c>
      <c r="C167">
        <v>0</v>
      </c>
      <c r="D167">
        <v>2</v>
      </c>
      <c r="E167">
        <v>1</v>
      </c>
      <c r="F167">
        <v>0</v>
      </c>
    </row>
    <row r="168" spans="2:6" x14ac:dyDescent="0.25">
      <c r="B168">
        <v>2</v>
      </c>
      <c r="C168">
        <v>0</v>
      </c>
      <c r="D168">
        <v>1</v>
      </c>
      <c r="E168">
        <v>0</v>
      </c>
      <c r="F168">
        <v>0</v>
      </c>
    </row>
    <row r="169" spans="2:6" x14ac:dyDescent="0.25">
      <c r="B169">
        <v>2</v>
      </c>
      <c r="C169">
        <v>0</v>
      </c>
      <c r="D169">
        <v>0</v>
      </c>
      <c r="E169">
        <v>1</v>
      </c>
      <c r="F169">
        <v>0</v>
      </c>
    </row>
    <row r="170" spans="2:6" x14ac:dyDescent="0.25">
      <c r="B170">
        <v>2</v>
      </c>
      <c r="C170">
        <v>0</v>
      </c>
      <c r="D170">
        <v>1</v>
      </c>
      <c r="E170">
        <v>0</v>
      </c>
      <c r="F170">
        <v>1</v>
      </c>
    </row>
    <row r="171" spans="2:6" x14ac:dyDescent="0.25">
      <c r="B171">
        <v>0</v>
      </c>
      <c r="C171">
        <v>0</v>
      </c>
      <c r="D171">
        <v>1</v>
      </c>
      <c r="E171">
        <v>0</v>
      </c>
      <c r="F171">
        <v>1</v>
      </c>
    </row>
    <row r="172" spans="2:6" x14ac:dyDescent="0.25">
      <c r="B172">
        <v>2</v>
      </c>
      <c r="C172">
        <v>0</v>
      </c>
      <c r="D172">
        <v>1</v>
      </c>
      <c r="E172">
        <v>1</v>
      </c>
      <c r="F172">
        <v>1</v>
      </c>
    </row>
    <row r="173" spans="2:6" x14ac:dyDescent="0.25">
      <c r="B173">
        <v>2</v>
      </c>
      <c r="C173">
        <v>0</v>
      </c>
      <c r="D173">
        <v>0</v>
      </c>
      <c r="E173">
        <v>0</v>
      </c>
      <c r="F173">
        <v>0</v>
      </c>
    </row>
    <row r="174" spans="2:6" x14ac:dyDescent="0.25">
      <c r="B174">
        <v>4</v>
      </c>
      <c r="C174">
        <v>0</v>
      </c>
      <c r="D174">
        <v>2</v>
      </c>
      <c r="E174">
        <v>3</v>
      </c>
      <c r="F174">
        <v>0</v>
      </c>
    </row>
    <row r="175" spans="2:6" x14ac:dyDescent="0.25">
      <c r="B175">
        <v>2</v>
      </c>
      <c r="C175">
        <v>0</v>
      </c>
      <c r="D175">
        <v>1</v>
      </c>
      <c r="E175">
        <v>1</v>
      </c>
      <c r="F175">
        <v>1</v>
      </c>
    </row>
    <row r="176" spans="2:6" x14ac:dyDescent="0.25">
      <c r="B176">
        <v>2</v>
      </c>
      <c r="C176">
        <v>0</v>
      </c>
      <c r="D176">
        <v>3</v>
      </c>
      <c r="E176">
        <v>0</v>
      </c>
      <c r="F176">
        <v>0</v>
      </c>
    </row>
    <row r="177" spans="2:6" x14ac:dyDescent="0.25">
      <c r="B177">
        <v>0</v>
      </c>
      <c r="C177">
        <v>1</v>
      </c>
      <c r="D177">
        <v>1</v>
      </c>
      <c r="E177">
        <v>1</v>
      </c>
      <c r="F177">
        <v>1</v>
      </c>
    </row>
    <row r="178" spans="2:6" x14ac:dyDescent="0.25">
      <c r="B178">
        <v>0</v>
      </c>
      <c r="C178">
        <v>1</v>
      </c>
      <c r="D178">
        <v>1</v>
      </c>
      <c r="E178">
        <v>0</v>
      </c>
      <c r="F178">
        <v>0</v>
      </c>
    </row>
    <row r="179" spans="2:6" x14ac:dyDescent="0.25">
      <c r="B179">
        <v>1</v>
      </c>
      <c r="C179">
        <v>2</v>
      </c>
      <c r="D179">
        <v>0</v>
      </c>
      <c r="E179">
        <v>0</v>
      </c>
      <c r="F179">
        <v>1</v>
      </c>
    </row>
    <row r="180" spans="2:6" x14ac:dyDescent="0.25">
      <c r="B180">
        <v>3</v>
      </c>
      <c r="C180">
        <v>0</v>
      </c>
      <c r="D180">
        <v>3</v>
      </c>
      <c r="E180">
        <v>1</v>
      </c>
      <c r="F180">
        <v>1</v>
      </c>
    </row>
    <row r="181" spans="2:6" x14ac:dyDescent="0.25">
      <c r="B181">
        <v>2</v>
      </c>
      <c r="C181">
        <v>1</v>
      </c>
      <c r="D181">
        <v>2</v>
      </c>
      <c r="E181">
        <v>0</v>
      </c>
      <c r="F181">
        <v>0</v>
      </c>
    </row>
    <row r="182" spans="2:6" x14ac:dyDescent="0.25">
      <c r="B182">
        <v>0</v>
      </c>
      <c r="C182">
        <v>1</v>
      </c>
      <c r="D182">
        <v>1</v>
      </c>
      <c r="E182">
        <v>1</v>
      </c>
      <c r="F182">
        <v>0</v>
      </c>
    </row>
    <row r="183" spans="2:6" x14ac:dyDescent="0.25">
      <c r="B183">
        <v>0</v>
      </c>
      <c r="C183">
        <v>2</v>
      </c>
      <c r="D183">
        <v>0</v>
      </c>
      <c r="E183">
        <v>0</v>
      </c>
      <c r="F183">
        <v>0</v>
      </c>
    </row>
    <row r="184" spans="2:6" x14ac:dyDescent="0.25">
      <c r="B184">
        <v>0</v>
      </c>
      <c r="C184">
        <v>0</v>
      </c>
      <c r="D184">
        <v>0</v>
      </c>
      <c r="E184">
        <v>2</v>
      </c>
      <c r="F184">
        <v>0</v>
      </c>
    </row>
    <row r="185" spans="2:6" x14ac:dyDescent="0.25">
      <c r="B185">
        <v>2</v>
      </c>
      <c r="C185">
        <v>0</v>
      </c>
      <c r="D185">
        <v>0</v>
      </c>
      <c r="E185">
        <v>0</v>
      </c>
      <c r="F185">
        <v>0</v>
      </c>
    </row>
    <row r="186" spans="2:6" x14ac:dyDescent="0.25">
      <c r="B186">
        <v>3</v>
      </c>
      <c r="C186">
        <v>0</v>
      </c>
      <c r="D186">
        <v>0</v>
      </c>
      <c r="E186">
        <v>0</v>
      </c>
      <c r="F186">
        <v>0</v>
      </c>
    </row>
    <row r="187" spans="2:6" x14ac:dyDescent="0.25">
      <c r="B187">
        <v>1</v>
      </c>
      <c r="C187">
        <v>1</v>
      </c>
      <c r="D187">
        <v>0</v>
      </c>
      <c r="E187">
        <v>1</v>
      </c>
      <c r="F187">
        <v>0</v>
      </c>
    </row>
    <row r="188" spans="2:6" x14ac:dyDescent="0.25">
      <c r="B188">
        <v>0</v>
      </c>
      <c r="C188">
        <v>1</v>
      </c>
      <c r="D188">
        <v>0</v>
      </c>
      <c r="E188">
        <v>0</v>
      </c>
      <c r="F188">
        <v>1</v>
      </c>
    </row>
    <row r="189" spans="2:6" x14ac:dyDescent="0.25">
      <c r="B189">
        <v>0</v>
      </c>
      <c r="C189">
        <v>2</v>
      </c>
      <c r="D189">
        <v>0</v>
      </c>
      <c r="E189">
        <v>1</v>
      </c>
      <c r="F189">
        <v>0</v>
      </c>
    </row>
    <row r="190" spans="2:6" x14ac:dyDescent="0.25">
      <c r="B190">
        <v>0</v>
      </c>
      <c r="C190">
        <v>4</v>
      </c>
      <c r="D190">
        <v>0</v>
      </c>
      <c r="E190">
        <v>0</v>
      </c>
      <c r="F190">
        <v>0</v>
      </c>
    </row>
    <row r="191" spans="2:6" x14ac:dyDescent="0.25">
      <c r="B191">
        <v>2</v>
      </c>
      <c r="C191">
        <v>0</v>
      </c>
      <c r="D191">
        <v>0</v>
      </c>
      <c r="E191">
        <v>0</v>
      </c>
      <c r="F191">
        <v>1</v>
      </c>
    </row>
    <row r="192" spans="2:6" x14ac:dyDescent="0.25">
      <c r="B192">
        <v>0</v>
      </c>
      <c r="C192">
        <v>0</v>
      </c>
      <c r="D192">
        <v>0</v>
      </c>
      <c r="E192">
        <v>0</v>
      </c>
      <c r="F192">
        <v>0</v>
      </c>
    </row>
    <row r="193" spans="2:6" x14ac:dyDescent="0.25">
      <c r="B193">
        <v>4</v>
      </c>
      <c r="C193">
        <v>0</v>
      </c>
      <c r="D193">
        <v>0</v>
      </c>
      <c r="E193">
        <v>0</v>
      </c>
      <c r="F193">
        <v>0</v>
      </c>
    </row>
    <row r="194" spans="2:6" x14ac:dyDescent="0.25">
      <c r="B194">
        <v>4</v>
      </c>
      <c r="C194">
        <v>0</v>
      </c>
      <c r="D194">
        <v>0</v>
      </c>
      <c r="E194">
        <v>0</v>
      </c>
      <c r="F194">
        <v>0</v>
      </c>
    </row>
    <row r="195" spans="2:6" x14ac:dyDescent="0.25">
      <c r="B195">
        <v>4</v>
      </c>
      <c r="C195">
        <v>0</v>
      </c>
      <c r="D195">
        <v>0</v>
      </c>
      <c r="E195">
        <v>0</v>
      </c>
      <c r="F195">
        <v>0</v>
      </c>
    </row>
    <row r="196" spans="2:6" x14ac:dyDescent="0.25">
      <c r="B196">
        <v>0</v>
      </c>
      <c r="C196">
        <v>0</v>
      </c>
      <c r="D196">
        <v>0</v>
      </c>
      <c r="E196">
        <v>0</v>
      </c>
      <c r="F196">
        <v>0</v>
      </c>
    </row>
    <row r="197" spans="2:6" x14ac:dyDescent="0.25">
      <c r="B197">
        <v>2</v>
      </c>
      <c r="C197">
        <v>0</v>
      </c>
      <c r="D197">
        <v>0</v>
      </c>
      <c r="E197">
        <v>0</v>
      </c>
      <c r="F197">
        <v>0</v>
      </c>
    </row>
    <row r="198" spans="2:6" x14ac:dyDescent="0.25">
      <c r="B198">
        <v>2</v>
      </c>
      <c r="C198">
        <v>0</v>
      </c>
      <c r="D198">
        <v>0</v>
      </c>
      <c r="E198">
        <v>0</v>
      </c>
      <c r="F198">
        <v>1</v>
      </c>
    </row>
    <row r="199" spans="2:6" x14ac:dyDescent="0.25">
      <c r="B199">
        <v>4</v>
      </c>
      <c r="C199">
        <v>1</v>
      </c>
      <c r="D199">
        <v>0</v>
      </c>
      <c r="E199">
        <v>0</v>
      </c>
      <c r="F199">
        <v>1</v>
      </c>
    </row>
    <row r="200" spans="2:6" x14ac:dyDescent="0.25">
      <c r="B200">
        <v>2</v>
      </c>
      <c r="C200">
        <v>1</v>
      </c>
      <c r="D200">
        <v>0</v>
      </c>
      <c r="E200">
        <v>0</v>
      </c>
      <c r="F200">
        <v>0</v>
      </c>
    </row>
    <row r="201" spans="2:6" x14ac:dyDescent="0.25">
      <c r="B201">
        <v>2</v>
      </c>
      <c r="C201">
        <v>2</v>
      </c>
      <c r="D201">
        <v>2</v>
      </c>
      <c r="E201">
        <v>0</v>
      </c>
      <c r="F201">
        <v>0</v>
      </c>
    </row>
    <row r="202" spans="2:6" x14ac:dyDescent="0.25">
      <c r="B202">
        <v>0</v>
      </c>
      <c r="C202">
        <v>2</v>
      </c>
      <c r="D202">
        <v>0</v>
      </c>
      <c r="E202">
        <v>0</v>
      </c>
      <c r="F202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88C5-BB1D-41FA-B1B7-AB1DC87EEBF9}">
  <dimension ref="A1:CP43"/>
  <sheetViews>
    <sheetView tabSelected="1" topLeftCell="I28" workbookViewId="0">
      <selection activeCell="V29" sqref="V29"/>
    </sheetView>
  </sheetViews>
  <sheetFormatPr defaultRowHeight="15" x14ac:dyDescent="0.25"/>
  <cols>
    <col min="14" max="14" width="10.140625" bestFit="1" customWidth="1"/>
    <col min="15" max="15" width="9.140625" customWidth="1"/>
    <col min="16" max="22" width="12" bestFit="1" customWidth="1"/>
    <col min="24" max="24" width="12" bestFit="1" customWidth="1"/>
    <col min="25" max="30" width="10.140625" bestFit="1" customWidth="1"/>
    <col min="31" max="31" width="8.140625" bestFit="1" customWidth="1"/>
    <col min="32" max="38" width="10.140625" bestFit="1" customWidth="1"/>
    <col min="40" max="46" width="10.140625" bestFit="1" customWidth="1"/>
    <col min="48" max="54" width="10.140625" bestFit="1" customWidth="1"/>
    <col min="56" max="60" width="10.140625" bestFit="1" customWidth="1"/>
    <col min="64" max="67" width="10.140625" bestFit="1" customWidth="1"/>
    <col min="73" max="76" width="10.140625" bestFit="1" customWidth="1"/>
    <col min="85" max="86" width="10.140625" bestFit="1" customWidth="1"/>
    <col min="94" max="94" width="10.140625" bestFit="1" customWidth="1"/>
  </cols>
  <sheetData>
    <row r="1" spans="2:94" x14ac:dyDescent="0.25">
      <c r="B1" s="3" t="s">
        <v>25</v>
      </c>
      <c r="C1" s="3"/>
      <c r="D1" s="3"/>
      <c r="E1" s="3"/>
      <c r="F1" s="3"/>
      <c r="G1" s="3"/>
    </row>
    <row r="2" spans="2:94" x14ac:dyDescent="0.25">
      <c r="B2" t="s">
        <v>26</v>
      </c>
      <c r="C2" t="s">
        <v>6</v>
      </c>
      <c r="D2" t="s">
        <v>27</v>
      </c>
      <c r="E2" t="s">
        <v>28</v>
      </c>
      <c r="F2" t="s">
        <v>7</v>
      </c>
      <c r="G2" t="s">
        <v>29</v>
      </c>
      <c r="H2" t="s">
        <v>8</v>
      </c>
      <c r="I2" t="s">
        <v>30</v>
      </c>
      <c r="J2" t="s">
        <v>31</v>
      </c>
      <c r="K2" t="s">
        <v>9</v>
      </c>
      <c r="M2" t="s">
        <v>32</v>
      </c>
      <c r="O2" t="s">
        <v>26</v>
      </c>
      <c r="P2" t="s">
        <v>6</v>
      </c>
      <c r="Q2" t="s">
        <v>27</v>
      </c>
      <c r="R2" t="s">
        <v>28</v>
      </c>
      <c r="S2" t="s">
        <v>7</v>
      </c>
      <c r="T2" t="s">
        <v>29</v>
      </c>
      <c r="U2" t="s">
        <v>8</v>
      </c>
      <c r="V2" t="s">
        <v>30</v>
      </c>
      <c r="W2" t="s">
        <v>31</v>
      </c>
      <c r="X2" t="s">
        <v>9</v>
      </c>
    </row>
    <row r="3" spans="2:94" x14ac:dyDescent="0.25">
      <c r="B3">
        <v>19164.849999999999</v>
      </c>
      <c r="C3">
        <v>18251.7</v>
      </c>
      <c r="D3">
        <v>17745.45</v>
      </c>
      <c r="E3">
        <v>16738.240000000002</v>
      </c>
      <c r="F3">
        <v>16251.38</v>
      </c>
      <c r="G3">
        <v>15112.51</v>
      </c>
      <c r="H3">
        <v>14033.46</v>
      </c>
      <c r="I3">
        <v>12948.48</v>
      </c>
      <c r="J3">
        <v>11802.08</v>
      </c>
      <c r="K3">
        <v>10548.6</v>
      </c>
      <c r="M3">
        <v>4032</v>
      </c>
      <c r="N3" t="s">
        <v>50</v>
      </c>
      <c r="O3" s="2">
        <f>B3/($M3*5)</f>
        <v>0.95063740079365067</v>
      </c>
      <c r="P3" s="2">
        <f t="shared" ref="P3:X3" si="0">C3/($M3*5)</f>
        <v>0.90534226190476197</v>
      </c>
      <c r="Q3" s="2">
        <f t="shared" si="0"/>
        <v>0.88023065476190476</v>
      </c>
      <c r="R3" s="2">
        <f t="shared" si="0"/>
        <v>0.83026984126984138</v>
      </c>
      <c r="S3" s="2">
        <f t="shared" si="0"/>
        <v>0.80612003968253965</v>
      </c>
      <c r="T3" s="2">
        <f t="shared" si="0"/>
        <v>0.74962847222222229</v>
      </c>
      <c r="U3" s="2">
        <f t="shared" si="0"/>
        <v>0.69610416666666663</v>
      </c>
      <c r="V3" s="2">
        <f t="shared" si="0"/>
        <v>0.64228571428571424</v>
      </c>
      <c r="W3" s="2">
        <f t="shared" si="0"/>
        <v>0.5854206349206349</v>
      </c>
      <c r="X3" s="2">
        <f t="shared" si="0"/>
        <v>0.52324404761904764</v>
      </c>
    </row>
    <row r="4" spans="2:94" x14ac:dyDescent="0.25">
      <c r="N4" t="s">
        <v>51</v>
      </c>
      <c r="O4" s="2">
        <f>B7/($M7*5)</f>
        <v>0.96866567460317454</v>
      </c>
      <c r="P4" s="2">
        <f t="shared" ref="P4:X4" si="1">C7/($M7*5)</f>
        <v>0.92901711309523816</v>
      </c>
      <c r="Q4" s="2">
        <f t="shared" si="1"/>
        <v>0.8971436011904762</v>
      </c>
      <c r="R4" s="2">
        <f t="shared" si="1"/>
        <v>0.87437896825396821</v>
      </c>
      <c r="S4" s="2">
        <f t="shared" si="1"/>
        <v>0.85448561507936505</v>
      </c>
      <c r="T4" s="2">
        <f t="shared" si="1"/>
        <v>0.81141220238095235</v>
      </c>
      <c r="U4" s="2">
        <f t="shared" si="1"/>
        <v>0.76717485119047624</v>
      </c>
      <c r="V4" s="2">
        <f t="shared" si="1"/>
        <v>0.70789955357142853</v>
      </c>
      <c r="W4" s="2">
        <f t="shared" si="1"/>
        <v>0.64680332341269842</v>
      </c>
      <c r="X4" s="2">
        <f t="shared" si="1"/>
        <v>0.58059300595238095</v>
      </c>
    </row>
    <row r="5" spans="2:94" x14ac:dyDescent="0.25">
      <c r="B5" s="3" t="s">
        <v>33</v>
      </c>
      <c r="C5" s="3"/>
      <c r="D5" s="3"/>
    </row>
    <row r="6" spans="2:94" x14ac:dyDescent="0.25">
      <c r="B6" t="s">
        <v>26</v>
      </c>
      <c r="C6" t="s">
        <v>6</v>
      </c>
      <c r="D6" t="s">
        <v>27</v>
      </c>
      <c r="E6" t="s">
        <v>28</v>
      </c>
      <c r="F6" t="s">
        <v>7</v>
      </c>
      <c r="G6" t="s">
        <v>29</v>
      </c>
      <c r="H6" t="s">
        <v>8</v>
      </c>
      <c r="I6" t="s">
        <v>30</v>
      </c>
      <c r="J6" t="s">
        <v>31</v>
      </c>
      <c r="K6" t="s">
        <v>9</v>
      </c>
      <c r="M6" t="s">
        <v>32</v>
      </c>
      <c r="O6" t="s">
        <v>26</v>
      </c>
      <c r="P6" t="s">
        <v>6</v>
      </c>
      <c r="Q6" t="s">
        <v>27</v>
      </c>
      <c r="R6" t="s">
        <v>28</v>
      </c>
      <c r="S6" t="s">
        <v>7</v>
      </c>
      <c r="T6" t="s">
        <v>29</v>
      </c>
      <c r="U6" t="s">
        <v>8</v>
      </c>
      <c r="V6" t="s">
        <v>30</v>
      </c>
      <c r="W6" t="s">
        <v>31</v>
      </c>
      <c r="X6" t="s">
        <v>9</v>
      </c>
    </row>
    <row r="7" spans="2:94" x14ac:dyDescent="0.25">
      <c r="B7">
        <v>39056.6</v>
      </c>
      <c r="C7">
        <v>37457.97</v>
      </c>
      <c r="D7">
        <v>36172.83</v>
      </c>
      <c r="E7">
        <v>35254.959999999999</v>
      </c>
      <c r="F7">
        <v>34452.86</v>
      </c>
      <c r="G7">
        <v>32716.14</v>
      </c>
      <c r="H7">
        <v>30932.49</v>
      </c>
      <c r="I7">
        <v>28542.51</v>
      </c>
      <c r="J7">
        <v>26079.11</v>
      </c>
      <c r="K7">
        <v>23409.51</v>
      </c>
      <c r="M7">
        <v>8064</v>
      </c>
      <c r="O7" s="2">
        <f>B7/($M7*5)</f>
        <v>0.96866567460317454</v>
      </c>
      <c r="P7" s="2">
        <f t="shared" ref="P7:X7" si="2">C7/($M7*5)</f>
        <v>0.92901711309523816</v>
      </c>
      <c r="Q7" s="2">
        <f t="shared" si="2"/>
        <v>0.8971436011904762</v>
      </c>
      <c r="R7" s="2">
        <f t="shared" si="2"/>
        <v>0.87437896825396821</v>
      </c>
      <c r="S7" s="2">
        <f t="shared" si="2"/>
        <v>0.85448561507936505</v>
      </c>
      <c r="T7" s="2">
        <f t="shared" si="2"/>
        <v>0.81141220238095235</v>
      </c>
      <c r="U7" s="2">
        <f t="shared" si="2"/>
        <v>0.76717485119047624</v>
      </c>
      <c r="V7" s="2">
        <f t="shared" si="2"/>
        <v>0.70789955357142853</v>
      </c>
      <c r="W7" s="2">
        <f t="shared" si="2"/>
        <v>0.64680332341269842</v>
      </c>
      <c r="X7" s="2">
        <f t="shared" si="2"/>
        <v>0.58059300595238095</v>
      </c>
    </row>
    <row r="9" spans="2:94" x14ac:dyDescent="0.25">
      <c r="B9" t="s">
        <v>2</v>
      </c>
    </row>
    <row r="10" spans="2:94" x14ac:dyDescent="0.25">
      <c r="B10" t="s">
        <v>26</v>
      </c>
      <c r="C10" t="s">
        <v>6</v>
      </c>
      <c r="D10" t="s">
        <v>27</v>
      </c>
      <c r="E10" t="s">
        <v>28</v>
      </c>
      <c r="F10" t="s">
        <v>7</v>
      </c>
      <c r="G10" t="s">
        <v>29</v>
      </c>
      <c r="H10" t="s">
        <v>8</v>
      </c>
      <c r="I10" t="s">
        <v>30</v>
      </c>
      <c r="J10" t="s">
        <v>31</v>
      </c>
      <c r="K10" t="s">
        <v>9</v>
      </c>
    </row>
    <row r="11" spans="2:94" x14ac:dyDescent="0.25">
      <c r="B11">
        <v>27.53</v>
      </c>
      <c r="C11">
        <v>22.6</v>
      </c>
      <c r="D11">
        <v>18.52</v>
      </c>
      <c r="E11">
        <v>12.94</v>
      </c>
      <c r="F11">
        <v>10.44</v>
      </c>
      <c r="G11">
        <v>5.78</v>
      </c>
      <c r="H11">
        <v>3.8</v>
      </c>
      <c r="I11">
        <v>1.48</v>
      </c>
      <c r="J11">
        <v>0.94</v>
      </c>
      <c r="K11">
        <v>0.28999999999999998</v>
      </c>
    </row>
    <row r="13" spans="2:94" x14ac:dyDescent="0.25">
      <c r="B13" t="s">
        <v>34</v>
      </c>
      <c r="O13" s="4" t="s">
        <v>26</v>
      </c>
      <c r="P13" s="4"/>
      <c r="Q13" s="4"/>
      <c r="R13" s="4"/>
      <c r="S13" s="4"/>
      <c r="T13" s="4"/>
      <c r="U13" s="4"/>
      <c r="V13" s="4"/>
      <c r="W13" s="4" t="s">
        <v>6</v>
      </c>
      <c r="X13" s="4"/>
      <c r="Y13" s="4"/>
      <c r="Z13" s="4"/>
      <c r="AA13" s="4"/>
      <c r="AB13" s="4"/>
      <c r="AC13" s="4"/>
      <c r="AD13" s="4"/>
      <c r="AE13" s="4" t="s">
        <v>27</v>
      </c>
      <c r="AF13" s="4"/>
      <c r="AG13" s="4"/>
      <c r="AH13" s="4"/>
      <c r="AI13" s="4"/>
      <c r="AJ13" s="4"/>
      <c r="AK13" s="4"/>
      <c r="AL13" s="4"/>
      <c r="AM13" s="4" t="s">
        <v>28</v>
      </c>
      <c r="AN13" s="4"/>
      <c r="AO13" s="4"/>
      <c r="AP13" s="4"/>
      <c r="AQ13" s="4"/>
      <c r="AR13" s="4"/>
      <c r="AS13" s="4"/>
      <c r="AT13" s="4"/>
      <c r="AU13" s="4" t="s">
        <v>7</v>
      </c>
      <c r="AV13" s="4"/>
      <c r="AW13" s="4"/>
      <c r="AX13" s="4"/>
      <c r="AY13" s="4"/>
      <c r="AZ13" s="4"/>
      <c r="BA13" s="4"/>
      <c r="BB13" s="4"/>
      <c r="BC13" s="4" t="s">
        <v>29</v>
      </c>
      <c r="BD13" s="4"/>
      <c r="BE13" s="4"/>
      <c r="BF13" s="4"/>
      <c r="BG13" s="4"/>
      <c r="BH13" s="4"/>
      <c r="BI13" s="4"/>
      <c r="BJ13" s="4"/>
      <c r="BK13" s="4" t="s">
        <v>8</v>
      </c>
      <c r="BL13" s="4"/>
      <c r="BM13" s="4"/>
      <c r="BN13" s="4"/>
      <c r="BO13" s="4"/>
      <c r="BP13" s="4"/>
      <c r="BQ13" s="4"/>
      <c r="BR13" s="4"/>
      <c r="BS13" s="4" t="s">
        <v>30</v>
      </c>
      <c r="BT13" s="4"/>
      <c r="BU13" s="4"/>
      <c r="BV13" s="4"/>
      <c r="BW13" s="4"/>
      <c r="BX13" s="4"/>
      <c r="BY13" s="4"/>
      <c r="BZ13" s="4"/>
      <c r="CA13" s="4" t="s">
        <v>31</v>
      </c>
      <c r="CB13" s="4"/>
      <c r="CC13" s="4"/>
      <c r="CD13" s="4"/>
      <c r="CE13" s="4"/>
      <c r="CF13" s="4"/>
      <c r="CG13" s="4"/>
      <c r="CH13" s="4"/>
      <c r="CI13" s="4" t="s">
        <v>9</v>
      </c>
      <c r="CJ13" s="4"/>
      <c r="CK13" s="4"/>
      <c r="CL13" s="4"/>
      <c r="CM13" s="4"/>
      <c r="CN13" s="4"/>
      <c r="CO13" s="4"/>
      <c r="CP13" s="4"/>
    </row>
    <row r="14" spans="2:94" x14ac:dyDescent="0.25">
      <c r="B14" t="s">
        <v>26</v>
      </c>
      <c r="C14" t="s">
        <v>6</v>
      </c>
      <c r="D14" t="s">
        <v>27</v>
      </c>
      <c r="E14" t="s">
        <v>28</v>
      </c>
      <c r="F14" t="s">
        <v>7</v>
      </c>
      <c r="G14" t="s">
        <v>29</v>
      </c>
      <c r="H14" t="s">
        <v>8</v>
      </c>
      <c r="I14" t="s">
        <v>30</v>
      </c>
      <c r="J14" t="s">
        <v>31</v>
      </c>
      <c r="K14" t="s">
        <v>9</v>
      </c>
      <c r="O14" s="1" t="s">
        <v>23</v>
      </c>
      <c r="P14" s="1" t="s">
        <v>22</v>
      </c>
      <c r="Q14" s="1" t="s">
        <v>21</v>
      </c>
      <c r="R14" s="1" t="s">
        <v>20</v>
      </c>
      <c r="S14" s="1" t="s">
        <v>19</v>
      </c>
      <c r="T14" s="1" t="s">
        <v>42</v>
      </c>
      <c r="U14" s="1" t="s">
        <v>43</v>
      </c>
      <c r="V14" s="1" t="s">
        <v>44</v>
      </c>
      <c r="W14" s="1" t="s">
        <v>23</v>
      </c>
      <c r="X14" s="1" t="s">
        <v>22</v>
      </c>
      <c r="Y14" s="1" t="s">
        <v>21</v>
      </c>
      <c r="Z14" s="1" t="s">
        <v>20</v>
      </c>
      <c r="AA14" s="1" t="s">
        <v>19</v>
      </c>
      <c r="AB14" s="1" t="s">
        <v>42</v>
      </c>
      <c r="AC14" s="1" t="s">
        <v>43</v>
      </c>
      <c r="AD14" s="1" t="s">
        <v>44</v>
      </c>
      <c r="AE14" s="1" t="s">
        <v>23</v>
      </c>
      <c r="AF14" s="1" t="s">
        <v>22</v>
      </c>
      <c r="AG14" s="1" t="s">
        <v>21</v>
      </c>
      <c r="AH14" s="1" t="s">
        <v>20</v>
      </c>
      <c r="AI14" s="1" t="s">
        <v>19</v>
      </c>
      <c r="AJ14" s="1" t="s">
        <v>42</v>
      </c>
      <c r="AK14" s="1" t="s">
        <v>43</v>
      </c>
      <c r="AL14" s="1" t="s">
        <v>44</v>
      </c>
      <c r="AM14" s="1" t="s">
        <v>23</v>
      </c>
      <c r="AN14" s="1" t="s">
        <v>22</v>
      </c>
      <c r="AO14" s="1" t="s">
        <v>21</v>
      </c>
      <c r="AP14" s="1" t="s">
        <v>20</v>
      </c>
      <c r="AQ14" s="1" t="s">
        <v>19</v>
      </c>
      <c r="AR14" s="1" t="s">
        <v>42</v>
      </c>
      <c r="AS14" s="1" t="s">
        <v>43</v>
      </c>
      <c r="AT14" s="1" t="s">
        <v>44</v>
      </c>
      <c r="AU14" s="1" t="s">
        <v>23</v>
      </c>
      <c r="AV14" s="1" t="s">
        <v>22</v>
      </c>
      <c r="AW14" s="1" t="s">
        <v>21</v>
      </c>
      <c r="AX14" s="1" t="s">
        <v>20</v>
      </c>
      <c r="AY14" s="1" t="s">
        <v>19</v>
      </c>
      <c r="AZ14" s="1" t="s">
        <v>42</v>
      </c>
      <c r="BA14" s="1" t="s">
        <v>43</v>
      </c>
      <c r="BB14" s="1" t="s">
        <v>44</v>
      </c>
      <c r="BC14" s="1" t="s">
        <v>23</v>
      </c>
      <c r="BD14" s="1" t="s">
        <v>22</v>
      </c>
      <c r="BE14" s="1" t="s">
        <v>21</v>
      </c>
      <c r="BF14" s="1" t="s">
        <v>20</v>
      </c>
      <c r="BG14" s="1" t="s">
        <v>19</v>
      </c>
      <c r="BH14" s="1" t="s">
        <v>42</v>
      </c>
      <c r="BI14" s="1" t="s">
        <v>43</v>
      </c>
      <c r="BJ14" s="1" t="s">
        <v>44</v>
      </c>
      <c r="BK14" s="1" t="s">
        <v>23</v>
      </c>
      <c r="BL14" s="1" t="s">
        <v>22</v>
      </c>
      <c r="BM14" s="1" t="s">
        <v>21</v>
      </c>
      <c r="BN14" s="1" t="s">
        <v>20</v>
      </c>
      <c r="BO14" s="1" t="s">
        <v>19</v>
      </c>
      <c r="BP14" s="1" t="s">
        <v>42</v>
      </c>
      <c r="BQ14" s="1" t="s">
        <v>43</v>
      </c>
      <c r="BR14" s="1" t="s">
        <v>44</v>
      </c>
      <c r="BS14" s="1" t="s">
        <v>23</v>
      </c>
      <c r="BT14" s="1" t="s">
        <v>22</v>
      </c>
      <c r="BU14" s="1" t="s">
        <v>21</v>
      </c>
      <c r="BV14" s="1" t="s">
        <v>20</v>
      </c>
      <c r="BW14" s="1" t="s">
        <v>19</v>
      </c>
      <c r="BX14" s="1" t="s">
        <v>42</v>
      </c>
      <c r="BY14" s="1" t="s">
        <v>43</v>
      </c>
      <c r="BZ14" s="1" t="s">
        <v>44</v>
      </c>
      <c r="CA14" s="1" t="s">
        <v>23</v>
      </c>
      <c r="CB14" s="1" t="s">
        <v>22</v>
      </c>
      <c r="CC14" s="1" t="s">
        <v>21</v>
      </c>
      <c r="CD14" s="1" t="s">
        <v>20</v>
      </c>
      <c r="CE14" s="1" t="s">
        <v>19</v>
      </c>
      <c r="CF14" s="1" t="s">
        <v>42</v>
      </c>
      <c r="CG14" s="1" t="s">
        <v>43</v>
      </c>
      <c r="CH14" s="1" t="s">
        <v>44</v>
      </c>
      <c r="CI14" s="1" t="s">
        <v>23</v>
      </c>
      <c r="CJ14" s="1" t="s">
        <v>22</v>
      </c>
      <c r="CK14" s="1" t="s">
        <v>21</v>
      </c>
      <c r="CL14" s="1" t="s">
        <v>20</v>
      </c>
      <c r="CM14" s="1" t="s">
        <v>19</v>
      </c>
      <c r="CN14" s="1" t="s">
        <v>42</v>
      </c>
      <c r="CO14" s="1" t="s">
        <v>43</v>
      </c>
      <c r="CP14" s="1" t="s">
        <v>44</v>
      </c>
    </row>
    <row r="15" spans="2:94" x14ac:dyDescent="0.25">
      <c r="B15">
        <v>1.0088889999999999</v>
      </c>
      <c r="C15">
        <v>2.1144440000000002</v>
      </c>
      <c r="D15">
        <v>3.0533329999999999</v>
      </c>
      <c r="E15">
        <v>4.1100000000000003</v>
      </c>
      <c r="F15">
        <v>4.7111109999999998</v>
      </c>
      <c r="G15">
        <v>5.427778</v>
      </c>
      <c r="H15">
        <v>6.0677779999999997</v>
      </c>
      <c r="I15">
        <v>6.3311109999999999</v>
      </c>
      <c r="J15">
        <v>6.36</v>
      </c>
      <c r="K15">
        <v>6.34</v>
      </c>
    </row>
    <row r="17" spans="2:24" x14ac:dyDescent="0.25">
      <c r="B17" t="s">
        <v>35</v>
      </c>
    </row>
    <row r="18" spans="2:24" x14ac:dyDescent="0.25">
      <c r="B18" t="s">
        <v>26</v>
      </c>
      <c r="C18" t="s">
        <v>6</v>
      </c>
      <c r="D18" t="s">
        <v>27</v>
      </c>
      <c r="E18" t="s">
        <v>28</v>
      </c>
      <c r="F18" t="s">
        <v>7</v>
      </c>
      <c r="G18" t="s">
        <v>29</v>
      </c>
      <c r="H18" t="s">
        <v>8</v>
      </c>
      <c r="I18" t="s">
        <v>30</v>
      </c>
      <c r="J18" t="s">
        <v>31</v>
      </c>
      <c r="K18" t="s">
        <v>9</v>
      </c>
    </row>
    <row r="19" spans="2:24" x14ac:dyDescent="0.25">
      <c r="B19">
        <v>68.971109999999996</v>
      </c>
      <c r="C19">
        <v>69.255560000000003</v>
      </c>
      <c r="D19">
        <v>69.150000000000006</v>
      </c>
      <c r="E19">
        <v>69.10333</v>
      </c>
      <c r="F19">
        <v>69.30444</v>
      </c>
      <c r="G19">
        <v>69.711110000000005</v>
      </c>
      <c r="H19">
        <v>69.421109999999999</v>
      </c>
      <c r="I19">
        <v>69.301109999999994</v>
      </c>
      <c r="J19">
        <v>69.183329999999998</v>
      </c>
      <c r="K19">
        <v>69.376670000000004</v>
      </c>
      <c r="O19" t="s">
        <v>26</v>
      </c>
      <c r="P19" t="s">
        <v>6</v>
      </c>
      <c r="Q19" t="s">
        <v>27</v>
      </c>
      <c r="R19" t="s">
        <v>28</v>
      </c>
      <c r="S19" t="s">
        <v>7</v>
      </c>
      <c r="T19" t="s">
        <v>29</v>
      </c>
      <c r="U19" t="s">
        <v>8</v>
      </c>
      <c r="V19" t="s">
        <v>30</v>
      </c>
      <c r="W19" t="s">
        <v>31</v>
      </c>
      <c r="X19" t="s">
        <v>9</v>
      </c>
    </row>
    <row r="20" spans="2:24" x14ac:dyDescent="0.25">
      <c r="N20" t="s">
        <v>23</v>
      </c>
      <c r="O20">
        <v>5.5</v>
      </c>
      <c r="P20">
        <v>10.98</v>
      </c>
      <c r="Q20">
        <v>15.74</v>
      </c>
      <c r="R20">
        <v>21.29</v>
      </c>
      <c r="S20">
        <v>25.05</v>
      </c>
      <c r="T20">
        <v>28.82</v>
      </c>
      <c r="U20">
        <v>31.86</v>
      </c>
      <c r="V20">
        <v>33</v>
      </c>
      <c r="W20">
        <v>33.659999999999997</v>
      </c>
      <c r="X20">
        <v>34.36</v>
      </c>
    </row>
    <row r="21" spans="2:24" x14ac:dyDescent="0.25">
      <c r="B21" t="s">
        <v>36</v>
      </c>
      <c r="N21" t="s">
        <v>45</v>
      </c>
      <c r="O21">
        <v>5.37</v>
      </c>
      <c r="P21">
        <v>10.76</v>
      </c>
      <c r="Q21">
        <v>15.5</v>
      </c>
      <c r="R21">
        <v>20.93</v>
      </c>
      <c r="S21">
        <v>24.57</v>
      </c>
      <c r="T21">
        <v>28.24</v>
      </c>
      <c r="U21">
        <v>31.19</v>
      </c>
      <c r="V21">
        <v>32.200000000000003</v>
      </c>
      <c r="W21">
        <v>32.89</v>
      </c>
      <c r="X21">
        <v>33.54</v>
      </c>
    </row>
    <row r="22" spans="2:24" x14ac:dyDescent="0.25">
      <c r="B22" t="s">
        <v>26</v>
      </c>
      <c r="C22" t="s">
        <v>6</v>
      </c>
      <c r="D22" t="s">
        <v>27</v>
      </c>
      <c r="E22" t="s">
        <v>28</v>
      </c>
      <c r="F22" t="s">
        <v>7</v>
      </c>
      <c r="G22" t="s">
        <v>29</v>
      </c>
      <c r="H22" t="s">
        <v>8</v>
      </c>
      <c r="I22" t="s">
        <v>30</v>
      </c>
      <c r="J22" t="s">
        <v>31</v>
      </c>
      <c r="K22" t="s">
        <v>9</v>
      </c>
      <c r="N22" t="s">
        <v>46</v>
      </c>
      <c r="O22">
        <v>5.04</v>
      </c>
      <c r="P22">
        <v>10.5</v>
      </c>
      <c r="Q22">
        <v>15.22</v>
      </c>
      <c r="R22">
        <v>20.48</v>
      </c>
      <c r="S22">
        <v>23.62</v>
      </c>
      <c r="T22">
        <v>27.24</v>
      </c>
      <c r="U22">
        <v>30.43</v>
      </c>
      <c r="V22">
        <v>31.75</v>
      </c>
      <c r="W22">
        <v>32.090000000000003</v>
      </c>
      <c r="X22">
        <v>31.81</v>
      </c>
    </row>
    <row r="23" spans="2:24" x14ac:dyDescent="0.25">
      <c r="B23">
        <v>7912.2737999999999</v>
      </c>
      <c r="C23">
        <v>6115.1432000000004</v>
      </c>
      <c r="D23">
        <v>4694.7843000000003</v>
      </c>
      <c r="E23">
        <v>3127.7105999999999</v>
      </c>
      <c r="F23">
        <v>2369.4448000000002</v>
      </c>
      <c r="G23">
        <v>1423.5238999999999</v>
      </c>
      <c r="H23">
        <v>856.41309999999999</v>
      </c>
      <c r="I23">
        <v>429.67380000000003</v>
      </c>
      <c r="J23">
        <v>291.98009999999999</v>
      </c>
      <c r="K23">
        <v>124.1066</v>
      </c>
      <c r="N23" t="s">
        <v>47</v>
      </c>
      <c r="O23">
        <v>5.24</v>
      </c>
      <c r="P23">
        <v>10.5</v>
      </c>
      <c r="Q23">
        <v>14.94</v>
      </c>
      <c r="R23">
        <v>20.07</v>
      </c>
      <c r="S23">
        <v>23.63</v>
      </c>
      <c r="T23">
        <v>27.01</v>
      </c>
      <c r="U23">
        <v>29.97</v>
      </c>
      <c r="V23">
        <v>30.93</v>
      </c>
      <c r="W23">
        <v>31.38</v>
      </c>
      <c r="X23">
        <v>32.1</v>
      </c>
    </row>
    <row r="24" spans="2:24" x14ac:dyDescent="0.25">
      <c r="N24" t="s">
        <v>48</v>
      </c>
      <c r="O24">
        <v>4.87</v>
      </c>
      <c r="P24">
        <v>10.17</v>
      </c>
      <c r="Q24">
        <v>14.63</v>
      </c>
      <c r="R24">
        <v>19.100000000000001</v>
      </c>
      <c r="S24">
        <v>22.91</v>
      </c>
      <c r="T24">
        <v>25.26</v>
      </c>
      <c r="U24">
        <v>27.88</v>
      </c>
      <c r="V24">
        <v>29.78</v>
      </c>
      <c r="W24">
        <v>30.49</v>
      </c>
      <c r="X24">
        <v>30.96</v>
      </c>
    </row>
    <row r="25" spans="2:24" x14ac:dyDescent="0.25">
      <c r="B25" t="s">
        <v>37</v>
      </c>
      <c r="N25" t="s">
        <v>49</v>
      </c>
      <c r="O25">
        <v>4.88</v>
      </c>
      <c r="P25">
        <v>10.09</v>
      </c>
      <c r="Q25">
        <v>14.12</v>
      </c>
      <c r="R25">
        <v>18.850000000000001</v>
      </c>
      <c r="S25">
        <v>22.57</v>
      </c>
      <c r="T25">
        <v>25.56</v>
      </c>
      <c r="U25">
        <v>27.93</v>
      </c>
      <c r="V25">
        <v>28.63</v>
      </c>
      <c r="W25">
        <v>30.06</v>
      </c>
      <c r="X25">
        <v>30.01</v>
      </c>
    </row>
    <row r="26" spans="2:24" x14ac:dyDescent="0.25">
      <c r="B26" t="s">
        <v>26</v>
      </c>
      <c r="C26" t="s">
        <v>6</v>
      </c>
      <c r="D26" t="s">
        <v>27</v>
      </c>
      <c r="E26" t="s">
        <v>28</v>
      </c>
      <c r="F26" t="s">
        <v>7</v>
      </c>
      <c r="G26" t="s">
        <v>29</v>
      </c>
      <c r="H26" t="s">
        <v>8</v>
      </c>
      <c r="I26" t="s">
        <v>30</v>
      </c>
      <c r="J26" t="s">
        <v>31</v>
      </c>
      <c r="K26" t="s">
        <v>9</v>
      </c>
    </row>
    <row r="27" spans="2:24" x14ac:dyDescent="0.25">
      <c r="B27">
        <v>569.75739999999996</v>
      </c>
      <c r="C27">
        <v>1098.4375</v>
      </c>
      <c r="D27">
        <v>1584.0894000000001</v>
      </c>
      <c r="E27">
        <v>2040.2009</v>
      </c>
      <c r="F27">
        <v>2412.0792000000001</v>
      </c>
      <c r="G27">
        <v>2771.0286000000001</v>
      </c>
      <c r="H27">
        <v>2881.3798000000002</v>
      </c>
      <c r="I27">
        <v>3074.4778000000001</v>
      </c>
      <c r="J27">
        <v>3171.7408</v>
      </c>
      <c r="K27">
        <v>3229.2622999999999</v>
      </c>
    </row>
    <row r="29" spans="2:24" x14ac:dyDescent="0.25">
      <c r="B29" t="s">
        <v>38</v>
      </c>
    </row>
    <row r="30" spans="2:24" x14ac:dyDescent="0.25">
      <c r="B30" t="s">
        <v>26</v>
      </c>
      <c r="C30" t="s">
        <v>6</v>
      </c>
      <c r="D30" t="s">
        <v>27</v>
      </c>
      <c r="E30" t="s">
        <v>28</v>
      </c>
      <c r="F30" t="s">
        <v>7</v>
      </c>
      <c r="G30" t="s">
        <v>29</v>
      </c>
      <c r="H30" t="s">
        <v>8</v>
      </c>
      <c r="I30" t="s">
        <v>30</v>
      </c>
      <c r="J30" t="s">
        <v>31</v>
      </c>
      <c r="K30" t="s">
        <v>9</v>
      </c>
    </row>
    <row r="31" spans="2:24" x14ac:dyDescent="0.25">
      <c r="B31">
        <v>0.16981270000000001</v>
      </c>
      <c r="C31">
        <v>0.35882370000000002</v>
      </c>
      <c r="D31">
        <v>0.50443459999999996</v>
      </c>
      <c r="E31">
        <v>0.7111499</v>
      </c>
      <c r="F31">
        <v>0.84070789999999995</v>
      </c>
      <c r="G31">
        <v>0.92216929999999997</v>
      </c>
      <c r="H31">
        <v>1.0260659000000001</v>
      </c>
      <c r="I31">
        <v>1.0431052999999999</v>
      </c>
      <c r="J31">
        <v>1.0937572</v>
      </c>
      <c r="K31">
        <v>1.1190663000000001</v>
      </c>
    </row>
    <row r="33" spans="1:11" x14ac:dyDescent="0.25">
      <c r="B33" t="s">
        <v>39</v>
      </c>
    </row>
    <row r="34" spans="1:11" x14ac:dyDescent="0.25">
      <c r="B34" t="s">
        <v>26</v>
      </c>
      <c r="C34" t="s">
        <v>6</v>
      </c>
      <c r="D34" t="s">
        <v>27</v>
      </c>
      <c r="E34" t="s">
        <v>28</v>
      </c>
      <c r="F34" t="s">
        <v>7</v>
      </c>
      <c r="G34" t="s">
        <v>29</v>
      </c>
      <c r="H34" t="s">
        <v>8</v>
      </c>
      <c r="I34" t="s">
        <v>30</v>
      </c>
      <c r="J34" t="s">
        <v>31</v>
      </c>
      <c r="K34" t="s">
        <v>9</v>
      </c>
    </row>
    <row r="35" spans="1:11" x14ac:dyDescent="0.25">
      <c r="A35" t="s">
        <v>52</v>
      </c>
      <c r="B35">
        <v>3.68</v>
      </c>
      <c r="C35">
        <v>7.63</v>
      </c>
      <c r="D35">
        <v>10.89</v>
      </c>
      <c r="E35">
        <v>14.86</v>
      </c>
      <c r="F35">
        <v>16.850000000000001</v>
      </c>
      <c r="G35">
        <v>19.3</v>
      </c>
      <c r="H35">
        <v>21.86</v>
      </c>
      <c r="I35">
        <v>22.75</v>
      </c>
      <c r="J35">
        <v>22.52</v>
      </c>
      <c r="K35">
        <v>22.63</v>
      </c>
    </row>
    <row r="36" spans="1:11" x14ac:dyDescent="0.25">
      <c r="A36" t="s">
        <v>53</v>
      </c>
      <c r="B36">
        <v>0.37</v>
      </c>
      <c r="C36">
        <v>0.91</v>
      </c>
      <c r="D36">
        <v>1.41</v>
      </c>
      <c r="E36">
        <v>1.7</v>
      </c>
      <c r="F36">
        <v>2.0299999999999998</v>
      </c>
      <c r="G36">
        <v>2.4300000000000002</v>
      </c>
      <c r="H36">
        <v>2.5</v>
      </c>
      <c r="I36">
        <v>2.6</v>
      </c>
      <c r="J36">
        <v>2.73</v>
      </c>
      <c r="K36">
        <v>2.73</v>
      </c>
    </row>
    <row r="37" spans="1:11" x14ac:dyDescent="0.25">
      <c r="B37" t="s">
        <v>40</v>
      </c>
    </row>
    <row r="38" spans="1:11" x14ac:dyDescent="0.25">
      <c r="B38" t="s">
        <v>26</v>
      </c>
      <c r="C38" t="s">
        <v>6</v>
      </c>
      <c r="D38" t="s">
        <v>27</v>
      </c>
      <c r="E38" t="s">
        <v>28</v>
      </c>
      <c r="F38" t="s">
        <v>7</v>
      </c>
      <c r="G38" t="s">
        <v>29</v>
      </c>
      <c r="H38" t="s">
        <v>8</v>
      </c>
      <c r="I38" t="s">
        <v>30</v>
      </c>
      <c r="J38" t="s">
        <v>31</v>
      </c>
      <c r="K38" t="s">
        <v>9</v>
      </c>
    </row>
    <row r="39" spans="1:11" x14ac:dyDescent="0.25">
      <c r="B39">
        <v>0.37</v>
      </c>
      <c r="C39">
        <v>0.91</v>
      </c>
      <c r="D39">
        <v>1.41</v>
      </c>
      <c r="E39">
        <v>1.7</v>
      </c>
      <c r="F39">
        <v>2.0299999999999998</v>
      </c>
      <c r="G39">
        <v>2.4300000000000002</v>
      </c>
      <c r="H39">
        <v>2.5</v>
      </c>
      <c r="I39">
        <v>2.6</v>
      </c>
      <c r="J39">
        <v>2.73</v>
      </c>
      <c r="K39">
        <v>2.73</v>
      </c>
    </row>
    <row r="41" spans="1:11" x14ac:dyDescent="0.25">
      <c r="B41" t="s">
        <v>41</v>
      </c>
    </row>
    <row r="42" spans="1:11" x14ac:dyDescent="0.25">
      <c r="B42" t="s">
        <v>26</v>
      </c>
      <c r="C42" t="s">
        <v>6</v>
      </c>
      <c r="D42" t="s">
        <v>27</v>
      </c>
      <c r="E42" t="s">
        <v>28</v>
      </c>
      <c r="F42" t="s">
        <v>7</v>
      </c>
      <c r="G42" t="s">
        <v>29</v>
      </c>
      <c r="H42" t="s">
        <v>8</v>
      </c>
      <c r="I42" t="s">
        <v>30</v>
      </c>
      <c r="J42" t="s">
        <v>31</v>
      </c>
      <c r="K42" t="s">
        <v>9</v>
      </c>
    </row>
    <row r="43" spans="1:11" x14ac:dyDescent="0.25">
      <c r="B43">
        <f>B35+B39</f>
        <v>4.05</v>
      </c>
      <c r="C43">
        <f t="shared" ref="C43:K43" si="3">C35+C39</f>
        <v>8.5399999999999991</v>
      </c>
      <c r="D43">
        <f t="shared" si="3"/>
        <v>12.3</v>
      </c>
      <c r="E43">
        <f t="shared" si="3"/>
        <v>16.559999999999999</v>
      </c>
      <c r="F43">
        <f t="shared" si="3"/>
        <v>18.880000000000003</v>
      </c>
      <c r="G43">
        <f t="shared" si="3"/>
        <v>21.73</v>
      </c>
      <c r="H43">
        <f t="shared" si="3"/>
        <v>24.36</v>
      </c>
      <c r="I43">
        <f t="shared" si="3"/>
        <v>25.35</v>
      </c>
      <c r="J43">
        <f t="shared" si="3"/>
        <v>25.25</v>
      </c>
      <c r="K43">
        <f t="shared" si="3"/>
        <v>25.36</v>
      </c>
    </row>
  </sheetData>
  <mergeCells count="12">
    <mergeCell ref="B5:D5"/>
    <mergeCell ref="B1:G1"/>
    <mergeCell ref="O13:V13"/>
    <mergeCell ref="W13:AD13"/>
    <mergeCell ref="AE13:AL13"/>
    <mergeCell ref="BK13:BR13"/>
    <mergeCell ref="BS13:BZ13"/>
    <mergeCell ref="CA13:CH13"/>
    <mergeCell ref="CI13:CP13"/>
    <mergeCell ref="AM13:AT13"/>
    <mergeCell ref="AU13:BB13"/>
    <mergeCell ref="BC13:BJ1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Roncero Lorrio</dc:creator>
  <cp:lastModifiedBy>MARTIN RONCERO LORRIO</cp:lastModifiedBy>
  <dcterms:created xsi:type="dcterms:W3CDTF">2015-06-05T18:17:20Z</dcterms:created>
  <dcterms:modified xsi:type="dcterms:W3CDTF">2024-05-04T17:35:22Z</dcterms:modified>
</cp:coreProperties>
</file>